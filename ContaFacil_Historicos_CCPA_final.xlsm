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de naty\"/>
    </mc:Choice>
  </mc:AlternateContent>
  <xr:revisionPtr revIDLastSave="0" documentId="13_ncr:1_{BB3B6696-B25E-406E-8181-4CADC0DFACB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os_Pronostico" sheetId="1" r:id="rId1"/>
    <sheet name="ImportarDatosTrimestrales" sheetId="10" r:id="rId2"/>
    <sheet name="Ingresos_Mensuales" sheetId="2" r:id="rId3"/>
    <sheet name="Detalle_Clientes" sheetId="3" r:id="rId4"/>
    <sheet name="Facturacion" sheetId="4" r:id="rId5"/>
    <sheet name="Declaraciones" sheetId="5" r:id="rId6"/>
    <sheet name="Catalogo_Servicios" sheetId="6" r:id="rId7"/>
    <sheet name="Parametros" sheetId="7" r:id="rId8"/>
    <sheet name="Clientes" sheetId="8" r:id="rId9"/>
    <sheet name="Supuestos_Fuentes" sheetId="9" r:id="rId10"/>
  </sheets>
  <functionGroups builtInGroupCount="19"/>
  <definedNames>
    <definedName name="_xlnm._FilterDatabase" localSheetId="4" hidden="1">Facturacion!$A$3:$I$724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4" i="6" l="1"/>
  <c r="H24" i="6"/>
  <c r="H23" i="6"/>
  <c r="I23" i="6" s="1"/>
  <c r="L22" i="6"/>
  <c r="I22" i="6"/>
  <c r="H22" i="6"/>
  <c r="L21" i="6"/>
  <c r="H21" i="6"/>
  <c r="I21" i="6" s="1"/>
  <c r="L20" i="6"/>
  <c r="I20" i="6"/>
  <c r="H20" i="6"/>
  <c r="L19" i="6"/>
  <c r="H19" i="6"/>
  <c r="I19" i="6" s="1"/>
  <c r="L18" i="6"/>
  <c r="I18" i="6"/>
  <c r="H18" i="6"/>
  <c r="H17" i="6"/>
  <c r="I17" i="6" s="1"/>
  <c r="I16" i="6"/>
  <c r="H16" i="6"/>
  <c r="L15" i="6"/>
  <c r="H15" i="6"/>
  <c r="I15" i="6" s="1"/>
  <c r="I14" i="6"/>
  <c r="H14" i="6"/>
  <c r="H13" i="6"/>
  <c r="I13" i="6" s="1"/>
  <c r="I12" i="6"/>
  <c r="H12" i="6"/>
  <c r="H11" i="6"/>
  <c r="I11" i="6" s="1"/>
  <c r="I10" i="6"/>
  <c r="H10" i="6"/>
  <c r="H9" i="6"/>
  <c r="I9" i="6" s="1"/>
  <c r="I8" i="6"/>
  <c r="H8" i="6"/>
  <c r="H7" i="6"/>
  <c r="I7" i="6" s="1"/>
  <c r="I6" i="6"/>
  <c r="H6" i="6"/>
  <c r="L5" i="6"/>
  <c r="H5" i="6"/>
  <c r="I5" i="6" s="1"/>
  <c r="L4" i="6"/>
  <c r="I4" i="6"/>
  <c r="H4" i="6"/>
  <c r="F39" i="5"/>
  <c r="E39" i="5"/>
  <c r="D39" i="5"/>
  <c r="G39" i="5" s="1"/>
  <c r="C39" i="5"/>
  <c r="B39" i="5"/>
  <c r="G38" i="5"/>
  <c r="F38" i="5"/>
  <c r="E38" i="5"/>
  <c r="D38" i="5"/>
  <c r="C38" i="5"/>
  <c r="B38" i="5"/>
  <c r="F37" i="5"/>
  <c r="E37" i="5"/>
  <c r="D37" i="5"/>
  <c r="G37" i="5" s="1"/>
  <c r="C37" i="5"/>
  <c r="B37" i="5"/>
  <c r="G36" i="5"/>
  <c r="F36" i="5"/>
  <c r="E36" i="5"/>
  <c r="D36" i="5"/>
  <c r="C36" i="5"/>
  <c r="B36" i="5"/>
  <c r="F35" i="5"/>
  <c r="E35" i="5"/>
  <c r="D35" i="5"/>
  <c r="G35" i="5" s="1"/>
  <c r="C35" i="5"/>
  <c r="B35" i="5"/>
  <c r="F34" i="5"/>
  <c r="E34" i="5"/>
  <c r="D34" i="5"/>
  <c r="G34" i="5" s="1"/>
  <c r="C34" i="5"/>
  <c r="B34" i="5"/>
  <c r="F33" i="5"/>
  <c r="E33" i="5"/>
  <c r="D33" i="5"/>
  <c r="G33" i="5" s="1"/>
  <c r="C33" i="5"/>
  <c r="B33" i="5"/>
  <c r="F32" i="5"/>
  <c r="E32" i="5"/>
  <c r="D32" i="5"/>
  <c r="G32" i="5" s="1"/>
  <c r="E32" i="2" s="1"/>
  <c r="C32" i="5"/>
  <c r="B32" i="5"/>
  <c r="F31" i="5"/>
  <c r="E31" i="5"/>
  <c r="D31" i="5"/>
  <c r="G31" i="5" s="1"/>
  <c r="C31" i="5"/>
  <c r="B31" i="5"/>
  <c r="F30" i="5"/>
  <c r="E30" i="5"/>
  <c r="D30" i="5"/>
  <c r="G30" i="5" s="1"/>
  <c r="C30" i="5"/>
  <c r="B30" i="5"/>
  <c r="F29" i="5"/>
  <c r="E29" i="5"/>
  <c r="D29" i="5"/>
  <c r="G29" i="5" s="1"/>
  <c r="C29" i="5"/>
  <c r="B29" i="5"/>
  <c r="F28" i="5"/>
  <c r="E28" i="5"/>
  <c r="D28" i="5"/>
  <c r="G28" i="5" s="1"/>
  <c r="C28" i="5"/>
  <c r="B28" i="5"/>
  <c r="F27" i="5"/>
  <c r="E27" i="5"/>
  <c r="D27" i="5"/>
  <c r="G27" i="5" s="1"/>
  <c r="C27" i="5"/>
  <c r="B27" i="5"/>
  <c r="F26" i="5"/>
  <c r="E26" i="5"/>
  <c r="D26" i="5"/>
  <c r="G26" i="5" s="1"/>
  <c r="C26" i="5"/>
  <c r="B26" i="5"/>
  <c r="F25" i="5"/>
  <c r="E25" i="5"/>
  <c r="D25" i="5"/>
  <c r="G25" i="5" s="1"/>
  <c r="C25" i="5"/>
  <c r="B25" i="5"/>
  <c r="F24" i="5"/>
  <c r="E24" i="5"/>
  <c r="D24" i="5"/>
  <c r="G24" i="5" s="1"/>
  <c r="C24" i="5"/>
  <c r="B24" i="5"/>
  <c r="F23" i="5"/>
  <c r="E23" i="5"/>
  <c r="D23" i="5"/>
  <c r="G23" i="5" s="1"/>
  <c r="C23" i="5"/>
  <c r="B23" i="5"/>
  <c r="F22" i="5"/>
  <c r="E22" i="5"/>
  <c r="D22" i="5"/>
  <c r="G22" i="5" s="1"/>
  <c r="C22" i="5"/>
  <c r="B22" i="5"/>
  <c r="F21" i="5"/>
  <c r="E21" i="5"/>
  <c r="D21" i="5"/>
  <c r="G21" i="5" s="1"/>
  <c r="C21" i="5"/>
  <c r="B21" i="5"/>
  <c r="F20" i="5"/>
  <c r="E20" i="5"/>
  <c r="D20" i="5"/>
  <c r="G20" i="5" s="1"/>
  <c r="E20" i="2" s="1"/>
  <c r="C20" i="5"/>
  <c r="B20" i="5"/>
  <c r="F19" i="5"/>
  <c r="E19" i="5"/>
  <c r="D19" i="5"/>
  <c r="C19" i="5"/>
  <c r="G19" i="5" s="1"/>
  <c r="B19" i="5"/>
  <c r="F18" i="5"/>
  <c r="E18" i="5"/>
  <c r="D18" i="5"/>
  <c r="G18" i="5" s="1"/>
  <c r="C18" i="5"/>
  <c r="B18" i="5"/>
  <c r="F17" i="5"/>
  <c r="E17" i="5"/>
  <c r="D17" i="5"/>
  <c r="C17" i="5"/>
  <c r="G17" i="5" s="1"/>
  <c r="B17" i="5"/>
  <c r="F16" i="5"/>
  <c r="E16" i="5"/>
  <c r="D16" i="5"/>
  <c r="G16" i="5" s="1"/>
  <c r="C16" i="5"/>
  <c r="B16" i="5"/>
  <c r="F15" i="5"/>
  <c r="E15" i="5"/>
  <c r="D15" i="5"/>
  <c r="C15" i="5"/>
  <c r="G15" i="5" s="1"/>
  <c r="B15" i="5"/>
  <c r="F14" i="5"/>
  <c r="E14" i="5"/>
  <c r="D14" i="5"/>
  <c r="G14" i="5" s="1"/>
  <c r="C14" i="5"/>
  <c r="B14" i="5"/>
  <c r="F13" i="5"/>
  <c r="E13" i="5"/>
  <c r="D13" i="5"/>
  <c r="C13" i="5"/>
  <c r="G13" i="5" s="1"/>
  <c r="E13" i="2" s="1"/>
  <c r="B13" i="5"/>
  <c r="F12" i="5"/>
  <c r="E12" i="5"/>
  <c r="D12" i="5"/>
  <c r="G12" i="5" s="1"/>
  <c r="C12" i="5"/>
  <c r="B12" i="5"/>
  <c r="F11" i="5"/>
  <c r="E11" i="5"/>
  <c r="D11" i="5"/>
  <c r="C11" i="5"/>
  <c r="G11" i="5" s="1"/>
  <c r="B11" i="5"/>
  <c r="F10" i="5"/>
  <c r="E10" i="5"/>
  <c r="D10" i="5"/>
  <c r="G10" i="5" s="1"/>
  <c r="C10" i="5"/>
  <c r="B10" i="5"/>
  <c r="F9" i="5"/>
  <c r="E9" i="5"/>
  <c r="D9" i="5"/>
  <c r="C9" i="5"/>
  <c r="G9" i="5" s="1"/>
  <c r="B9" i="5"/>
  <c r="F8" i="5"/>
  <c r="E8" i="5"/>
  <c r="D8" i="5"/>
  <c r="G8" i="5" s="1"/>
  <c r="E8" i="2" s="1"/>
  <c r="C8" i="5"/>
  <c r="B8" i="5"/>
  <c r="F7" i="5"/>
  <c r="E7" i="5"/>
  <c r="D7" i="5"/>
  <c r="C7" i="5"/>
  <c r="G7" i="5" s="1"/>
  <c r="B7" i="5"/>
  <c r="F6" i="5"/>
  <c r="E6" i="5"/>
  <c r="D6" i="5"/>
  <c r="G6" i="5" s="1"/>
  <c r="C6" i="5"/>
  <c r="B6" i="5"/>
  <c r="F5" i="5"/>
  <c r="E5" i="5"/>
  <c r="D5" i="5"/>
  <c r="C5" i="5"/>
  <c r="G5" i="5" s="1"/>
  <c r="B5" i="5"/>
  <c r="F4" i="5"/>
  <c r="E4" i="5"/>
  <c r="D4" i="5"/>
  <c r="G4" i="5" s="1"/>
  <c r="C4" i="5"/>
  <c r="B4" i="5"/>
  <c r="I724" i="4"/>
  <c r="H724" i="4"/>
  <c r="G724" i="4"/>
  <c r="E724" i="4"/>
  <c r="D724" i="4"/>
  <c r="H723" i="4"/>
  <c r="I723" i="4" s="1"/>
  <c r="G723" i="4"/>
  <c r="E723" i="4"/>
  <c r="D723" i="4"/>
  <c r="H722" i="4"/>
  <c r="G722" i="4"/>
  <c r="I722" i="4" s="1"/>
  <c r="E722" i="4"/>
  <c r="D722" i="4"/>
  <c r="I721" i="4"/>
  <c r="I39" i="3" s="1"/>
  <c r="H721" i="4"/>
  <c r="G721" i="4"/>
  <c r="E721" i="4"/>
  <c r="D721" i="4"/>
  <c r="H720" i="4"/>
  <c r="I720" i="4" s="1"/>
  <c r="H39" i="3" s="1"/>
  <c r="G720" i="4"/>
  <c r="E720" i="4"/>
  <c r="D720" i="4"/>
  <c r="H719" i="4"/>
  <c r="G719" i="4"/>
  <c r="I719" i="4" s="1"/>
  <c r="E719" i="4"/>
  <c r="D719" i="4"/>
  <c r="I718" i="4"/>
  <c r="H718" i="4"/>
  <c r="G718" i="4"/>
  <c r="E718" i="4"/>
  <c r="D718" i="4"/>
  <c r="H717" i="4"/>
  <c r="I717" i="4" s="1"/>
  <c r="F39" i="3" s="1"/>
  <c r="G717" i="4"/>
  <c r="E717" i="4"/>
  <c r="D717" i="4"/>
  <c r="I716" i="4"/>
  <c r="H716" i="4"/>
  <c r="G716" i="4"/>
  <c r="E716" i="4"/>
  <c r="D716" i="4"/>
  <c r="I715" i="4"/>
  <c r="H715" i="4"/>
  <c r="G715" i="4"/>
  <c r="E715" i="4"/>
  <c r="D715" i="4"/>
  <c r="H714" i="4"/>
  <c r="G714" i="4"/>
  <c r="I714" i="4" s="1"/>
  <c r="E714" i="4"/>
  <c r="D714" i="4"/>
  <c r="H713" i="4"/>
  <c r="G713" i="4"/>
  <c r="I713" i="4" s="1"/>
  <c r="E713" i="4"/>
  <c r="D713" i="4"/>
  <c r="I712" i="4"/>
  <c r="H712" i="4"/>
  <c r="G712" i="4"/>
  <c r="E712" i="4"/>
  <c r="D712" i="4"/>
  <c r="H711" i="4"/>
  <c r="G711" i="4"/>
  <c r="I711" i="4" s="1"/>
  <c r="E711" i="4"/>
  <c r="D711" i="4"/>
  <c r="H710" i="4"/>
  <c r="G710" i="4"/>
  <c r="I710" i="4" s="1"/>
  <c r="E710" i="4"/>
  <c r="D710" i="4"/>
  <c r="I709" i="4"/>
  <c r="H709" i="4"/>
  <c r="G709" i="4"/>
  <c r="E709" i="4"/>
  <c r="D709" i="4"/>
  <c r="H708" i="4"/>
  <c r="I708" i="4" s="1"/>
  <c r="G708" i="4"/>
  <c r="E708" i="4"/>
  <c r="D708" i="4"/>
  <c r="H707" i="4"/>
  <c r="G707" i="4"/>
  <c r="I707" i="4" s="1"/>
  <c r="B39" i="3" s="1"/>
  <c r="E707" i="4"/>
  <c r="D707" i="4"/>
  <c r="I706" i="4"/>
  <c r="H706" i="4"/>
  <c r="G706" i="4"/>
  <c r="E706" i="4"/>
  <c r="D706" i="4"/>
  <c r="H705" i="4"/>
  <c r="I705" i="4" s="1"/>
  <c r="K38" i="3" s="1"/>
  <c r="G705" i="4"/>
  <c r="E705" i="4"/>
  <c r="D705" i="4"/>
  <c r="I704" i="4"/>
  <c r="H704" i="4"/>
  <c r="G704" i="4"/>
  <c r="E704" i="4"/>
  <c r="D704" i="4"/>
  <c r="I703" i="4"/>
  <c r="H703" i="4"/>
  <c r="G703" i="4"/>
  <c r="E703" i="4"/>
  <c r="D703" i="4"/>
  <c r="H702" i="4"/>
  <c r="G702" i="4"/>
  <c r="I702" i="4" s="1"/>
  <c r="E702" i="4"/>
  <c r="D702" i="4"/>
  <c r="H701" i="4"/>
  <c r="G701" i="4"/>
  <c r="I701" i="4" s="1"/>
  <c r="G38" i="3" s="1"/>
  <c r="E701" i="4"/>
  <c r="D701" i="4"/>
  <c r="I700" i="4"/>
  <c r="H700" i="4"/>
  <c r="G700" i="4"/>
  <c r="E700" i="4"/>
  <c r="D700" i="4"/>
  <c r="H699" i="4"/>
  <c r="G699" i="4"/>
  <c r="I699" i="4" s="1"/>
  <c r="E699" i="4"/>
  <c r="D699" i="4"/>
  <c r="H698" i="4"/>
  <c r="G698" i="4"/>
  <c r="I698" i="4" s="1"/>
  <c r="E698" i="4"/>
  <c r="D698" i="4"/>
  <c r="H697" i="4"/>
  <c r="I697" i="4" s="1"/>
  <c r="G697" i="4"/>
  <c r="E697" i="4"/>
  <c r="D697" i="4"/>
  <c r="H696" i="4"/>
  <c r="I696" i="4" s="1"/>
  <c r="G696" i="4"/>
  <c r="E696" i="4"/>
  <c r="D696" i="4"/>
  <c r="H695" i="4"/>
  <c r="G695" i="4"/>
  <c r="I695" i="4" s="1"/>
  <c r="E695" i="4"/>
  <c r="D695" i="4"/>
  <c r="I694" i="4"/>
  <c r="H694" i="4"/>
  <c r="G694" i="4"/>
  <c r="E694" i="4"/>
  <c r="D694" i="4"/>
  <c r="H693" i="4"/>
  <c r="I693" i="4" s="1"/>
  <c r="C38" i="3" s="1"/>
  <c r="G693" i="4"/>
  <c r="E693" i="4"/>
  <c r="D693" i="4"/>
  <c r="I692" i="4"/>
  <c r="H692" i="4"/>
  <c r="G692" i="4"/>
  <c r="E692" i="4"/>
  <c r="D692" i="4"/>
  <c r="I691" i="4"/>
  <c r="H691" i="4"/>
  <c r="G691" i="4"/>
  <c r="E691" i="4"/>
  <c r="D691" i="4"/>
  <c r="H690" i="4"/>
  <c r="G690" i="4"/>
  <c r="I690" i="4" s="1"/>
  <c r="E690" i="4"/>
  <c r="D690" i="4"/>
  <c r="H689" i="4"/>
  <c r="G689" i="4"/>
  <c r="I689" i="4" s="1"/>
  <c r="E689" i="4"/>
  <c r="D689" i="4"/>
  <c r="I688" i="4"/>
  <c r="H688" i="4"/>
  <c r="G688" i="4"/>
  <c r="E688" i="4"/>
  <c r="D688" i="4"/>
  <c r="H687" i="4"/>
  <c r="G687" i="4"/>
  <c r="I687" i="4" s="1"/>
  <c r="K37" i="3" s="1"/>
  <c r="E687" i="4"/>
  <c r="D687" i="4"/>
  <c r="H686" i="4"/>
  <c r="G686" i="4"/>
  <c r="I686" i="4" s="1"/>
  <c r="I37" i="3" s="1"/>
  <c r="E686" i="4"/>
  <c r="D686" i="4"/>
  <c r="H685" i="4"/>
  <c r="I685" i="4" s="1"/>
  <c r="G685" i="4"/>
  <c r="E685" i="4"/>
  <c r="D685" i="4"/>
  <c r="H684" i="4"/>
  <c r="I684" i="4" s="1"/>
  <c r="G684" i="4"/>
  <c r="E684" i="4"/>
  <c r="D684" i="4"/>
  <c r="H683" i="4"/>
  <c r="G683" i="4"/>
  <c r="I683" i="4" s="1"/>
  <c r="H37" i="3" s="1"/>
  <c r="E683" i="4"/>
  <c r="D683" i="4"/>
  <c r="I682" i="4"/>
  <c r="H682" i="4"/>
  <c r="G682" i="4"/>
  <c r="E682" i="4"/>
  <c r="D682" i="4"/>
  <c r="H681" i="4"/>
  <c r="I681" i="4" s="1"/>
  <c r="G681" i="4"/>
  <c r="E681" i="4"/>
  <c r="D681" i="4"/>
  <c r="I680" i="4"/>
  <c r="F37" i="3" s="1"/>
  <c r="D37" i="2" s="1"/>
  <c r="H680" i="4"/>
  <c r="G680" i="4"/>
  <c r="E680" i="4"/>
  <c r="D680" i="4"/>
  <c r="I679" i="4"/>
  <c r="H679" i="4"/>
  <c r="G679" i="4"/>
  <c r="E679" i="4"/>
  <c r="D679" i="4"/>
  <c r="H678" i="4"/>
  <c r="G678" i="4"/>
  <c r="I678" i="4" s="1"/>
  <c r="D37" i="3" s="1"/>
  <c r="E678" i="4"/>
  <c r="D678" i="4"/>
  <c r="H677" i="4"/>
  <c r="G677" i="4"/>
  <c r="I677" i="4" s="1"/>
  <c r="E677" i="4"/>
  <c r="D677" i="4"/>
  <c r="I676" i="4"/>
  <c r="H676" i="4"/>
  <c r="G676" i="4"/>
  <c r="E676" i="4"/>
  <c r="D676" i="4"/>
  <c r="H675" i="4"/>
  <c r="I675" i="4" s="1"/>
  <c r="G675" i="4"/>
  <c r="E675" i="4"/>
  <c r="D675" i="4"/>
  <c r="H674" i="4"/>
  <c r="G674" i="4"/>
  <c r="I674" i="4" s="1"/>
  <c r="E674" i="4"/>
  <c r="D674" i="4"/>
  <c r="H673" i="4"/>
  <c r="I673" i="4" s="1"/>
  <c r="G673" i="4"/>
  <c r="E673" i="4"/>
  <c r="D673" i="4"/>
  <c r="H672" i="4"/>
  <c r="I672" i="4" s="1"/>
  <c r="G672" i="4"/>
  <c r="E672" i="4"/>
  <c r="D672" i="4"/>
  <c r="H671" i="4"/>
  <c r="G671" i="4"/>
  <c r="I671" i="4" s="1"/>
  <c r="E671" i="4"/>
  <c r="D671" i="4"/>
  <c r="I670" i="4"/>
  <c r="H670" i="4"/>
  <c r="G670" i="4"/>
  <c r="E670" i="4"/>
  <c r="D670" i="4"/>
  <c r="H669" i="4"/>
  <c r="I669" i="4" s="1"/>
  <c r="K36" i="3" s="1"/>
  <c r="G669" i="4"/>
  <c r="E669" i="4"/>
  <c r="D669" i="4"/>
  <c r="I668" i="4"/>
  <c r="H668" i="4"/>
  <c r="G668" i="4"/>
  <c r="E668" i="4"/>
  <c r="D668" i="4"/>
  <c r="I667" i="4"/>
  <c r="H667" i="4"/>
  <c r="G667" i="4"/>
  <c r="E667" i="4"/>
  <c r="D667" i="4"/>
  <c r="H666" i="4"/>
  <c r="G666" i="4"/>
  <c r="I666" i="4" s="1"/>
  <c r="E666" i="4"/>
  <c r="D666" i="4"/>
  <c r="H665" i="4"/>
  <c r="G665" i="4"/>
  <c r="I665" i="4" s="1"/>
  <c r="E665" i="4"/>
  <c r="D665" i="4"/>
  <c r="I664" i="4"/>
  <c r="H664" i="4"/>
  <c r="G664" i="4"/>
  <c r="E664" i="4"/>
  <c r="D664" i="4"/>
  <c r="H663" i="4"/>
  <c r="G663" i="4"/>
  <c r="I663" i="4" s="1"/>
  <c r="E663" i="4"/>
  <c r="D663" i="4"/>
  <c r="H662" i="4"/>
  <c r="G662" i="4"/>
  <c r="I662" i="4" s="1"/>
  <c r="E36" i="3" s="1"/>
  <c r="E662" i="4"/>
  <c r="D662" i="4"/>
  <c r="H661" i="4"/>
  <c r="I661" i="4" s="1"/>
  <c r="G661" i="4"/>
  <c r="E661" i="4"/>
  <c r="D661" i="4"/>
  <c r="H660" i="4"/>
  <c r="I660" i="4" s="1"/>
  <c r="G660" i="4"/>
  <c r="E660" i="4"/>
  <c r="D660" i="4"/>
  <c r="H659" i="4"/>
  <c r="G659" i="4"/>
  <c r="I659" i="4" s="1"/>
  <c r="E659" i="4"/>
  <c r="D659" i="4"/>
  <c r="I658" i="4"/>
  <c r="H658" i="4"/>
  <c r="G658" i="4"/>
  <c r="E658" i="4"/>
  <c r="D658" i="4"/>
  <c r="H657" i="4"/>
  <c r="I657" i="4" s="1"/>
  <c r="G657" i="4"/>
  <c r="E657" i="4"/>
  <c r="D657" i="4"/>
  <c r="I656" i="4"/>
  <c r="H656" i="4"/>
  <c r="G656" i="4"/>
  <c r="E656" i="4"/>
  <c r="D656" i="4"/>
  <c r="I655" i="4"/>
  <c r="H655" i="4"/>
  <c r="G655" i="4"/>
  <c r="E655" i="4"/>
  <c r="D655" i="4"/>
  <c r="H654" i="4"/>
  <c r="G654" i="4"/>
  <c r="I654" i="4" s="1"/>
  <c r="E654" i="4"/>
  <c r="D654" i="4"/>
  <c r="H653" i="4"/>
  <c r="G653" i="4"/>
  <c r="I653" i="4" s="1"/>
  <c r="E653" i="4"/>
  <c r="D653" i="4"/>
  <c r="I652" i="4"/>
  <c r="H652" i="4"/>
  <c r="G652" i="4"/>
  <c r="E652" i="4"/>
  <c r="D652" i="4"/>
  <c r="H651" i="4"/>
  <c r="G651" i="4"/>
  <c r="I651" i="4" s="1"/>
  <c r="E651" i="4"/>
  <c r="D651" i="4"/>
  <c r="H650" i="4"/>
  <c r="G650" i="4"/>
  <c r="I650" i="4" s="1"/>
  <c r="I35" i="3" s="1"/>
  <c r="E650" i="4"/>
  <c r="D650" i="4"/>
  <c r="H649" i="4"/>
  <c r="I649" i="4" s="1"/>
  <c r="G649" i="4"/>
  <c r="E649" i="4"/>
  <c r="D649" i="4"/>
  <c r="H648" i="4"/>
  <c r="I648" i="4" s="1"/>
  <c r="G648" i="4"/>
  <c r="E648" i="4"/>
  <c r="D648" i="4"/>
  <c r="H647" i="4"/>
  <c r="G647" i="4"/>
  <c r="I647" i="4" s="1"/>
  <c r="F35" i="3" s="1"/>
  <c r="E647" i="4"/>
  <c r="D647" i="4"/>
  <c r="I646" i="4"/>
  <c r="H646" i="4"/>
  <c r="G646" i="4"/>
  <c r="E646" i="4"/>
  <c r="D646" i="4"/>
  <c r="H645" i="4"/>
  <c r="I645" i="4" s="1"/>
  <c r="G645" i="4"/>
  <c r="E645" i="4"/>
  <c r="D645" i="4"/>
  <c r="I644" i="4"/>
  <c r="D35" i="3" s="1"/>
  <c r="H644" i="4"/>
  <c r="G644" i="4"/>
  <c r="E644" i="4"/>
  <c r="D644" i="4"/>
  <c r="I643" i="4"/>
  <c r="H643" i="4"/>
  <c r="G643" i="4"/>
  <c r="E643" i="4"/>
  <c r="D643" i="4"/>
  <c r="H642" i="4"/>
  <c r="G642" i="4"/>
  <c r="I642" i="4" s="1"/>
  <c r="E642" i="4"/>
  <c r="D642" i="4"/>
  <c r="H641" i="4"/>
  <c r="G641" i="4"/>
  <c r="I641" i="4" s="1"/>
  <c r="E641" i="4"/>
  <c r="D641" i="4"/>
  <c r="I640" i="4"/>
  <c r="H640" i="4"/>
  <c r="G640" i="4"/>
  <c r="E640" i="4"/>
  <c r="D640" i="4"/>
  <c r="H639" i="4"/>
  <c r="G639" i="4"/>
  <c r="I639" i="4" s="1"/>
  <c r="B35" i="3" s="1"/>
  <c r="E639" i="4"/>
  <c r="D639" i="4"/>
  <c r="H638" i="4"/>
  <c r="G638" i="4"/>
  <c r="I638" i="4" s="1"/>
  <c r="E638" i="4"/>
  <c r="D638" i="4"/>
  <c r="H637" i="4"/>
  <c r="I637" i="4" s="1"/>
  <c r="G637" i="4"/>
  <c r="E637" i="4"/>
  <c r="D637" i="4"/>
  <c r="H636" i="4"/>
  <c r="I636" i="4" s="1"/>
  <c r="G636" i="4"/>
  <c r="E636" i="4"/>
  <c r="D636" i="4"/>
  <c r="H635" i="4"/>
  <c r="G635" i="4"/>
  <c r="I635" i="4" s="1"/>
  <c r="K34" i="3" s="1"/>
  <c r="E635" i="4"/>
  <c r="D635" i="4"/>
  <c r="I634" i="4"/>
  <c r="H634" i="4"/>
  <c r="G634" i="4"/>
  <c r="E634" i="4"/>
  <c r="D634" i="4"/>
  <c r="H633" i="4"/>
  <c r="I633" i="4" s="1"/>
  <c r="G633" i="4"/>
  <c r="E633" i="4"/>
  <c r="D633" i="4"/>
  <c r="I632" i="4"/>
  <c r="H632" i="4"/>
  <c r="G632" i="4"/>
  <c r="E632" i="4"/>
  <c r="D632" i="4"/>
  <c r="I631" i="4"/>
  <c r="H631" i="4"/>
  <c r="G631" i="4"/>
  <c r="E631" i="4"/>
  <c r="D631" i="4"/>
  <c r="H630" i="4"/>
  <c r="G630" i="4"/>
  <c r="I630" i="4" s="1"/>
  <c r="G34" i="3" s="1"/>
  <c r="E630" i="4"/>
  <c r="D630" i="4"/>
  <c r="H629" i="4"/>
  <c r="G629" i="4"/>
  <c r="I629" i="4" s="1"/>
  <c r="E629" i="4"/>
  <c r="D629" i="4"/>
  <c r="I628" i="4"/>
  <c r="H628" i="4"/>
  <c r="G628" i="4"/>
  <c r="E628" i="4"/>
  <c r="D628" i="4"/>
  <c r="H627" i="4"/>
  <c r="G627" i="4"/>
  <c r="I627" i="4" s="1"/>
  <c r="E627" i="4"/>
  <c r="D627" i="4"/>
  <c r="H626" i="4"/>
  <c r="G626" i="4"/>
  <c r="I626" i="4" s="1"/>
  <c r="E626" i="4"/>
  <c r="D626" i="4"/>
  <c r="H625" i="4"/>
  <c r="I625" i="4" s="1"/>
  <c r="D34" i="3" s="1"/>
  <c r="G625" i="4"/>
  <c r="E625" i="4"/>
  <c r="D625" i="4"/>
  <c r="H624" i="4"/>
  <c r="I624" i="4" s="1"/>
  <c r="G624" i="4"/>
  <c r="E624" i="4"/>
  <c r="D624" i="4"/>
  <c r="H623" i="4"/>
  <c r="G623" i="4"/>
  <c r="I623" i="4" s="1"/>
  <c r="E623" i="4"/>
  <c r="D623" i="4"/>
  <c r="I622" i="4"/>
  <c r="H622" i="4"/>
  <c r="G622" i="4"/>
  <c r="E622" i="4"/>
  <c r="D622" i="4"/>
  <c r="H621" i="4"/>
  <c r="I621" i="4" s="1"/>
  <c r="G621" i="4"/>
  <c r="E621" i="4"/>
  <c r="D621" i="4"/>
  <c r="I620" i="4"/>
  <c r="H620" i="4"/>
  <c r="G620" i="4"/>
  <c r="E620" i="4"/>
  <c r="D620" i="4"/>
  <c r="I619" i="4"/>
  <c r="H619" i="4"/>
  <c r="G619" i="4"/>
  <c r="E619" i="4"/>
  <c r="D619" i="4"/>
  <c r="H618" i="4"/>
  <c r="G618" i="4"/>
  <c r="E618" i="4"/>
  <c r="D618" i="4"/>
  <c r="H617" i="4"/>
  <c r="G617" i="4"/>
  <c r="I617" i="4" s="1"/>
  <c r="M33" i="3" s="1"/>
  <c r="E617" i="4"/>
  <c r="D617" i="4"/>
  <c r="I616" i="4"/>
  <c r="H616" i="4"/>
  <c r="G616" i="4"/>
  <c r="E616" i="4"/>
  <c r="D616" i="4"/>
  <c r="H615" i="4"/>
  <c r="G615" i="4"/>
  <c r="I615" i="4" s="1"/>
  <c r="L33" i="3" s="1"/>
  <c r="E615" i="4"/>
  <c r="D615" i="4"/>
  <c r="H614" i="4"/>
  <c r="G614" i="4"/>
  <c r="I614" i="4" s="1"/>
  <c r="K33" i="3" s="1"/>
  <c r="E614" i="4"/>
  <c r="D614" i="4"/>
  <c r="I613" i="4"/>
  <c r="H613" i="4"/>
  <c r="G613" i="4"/>
  <c r="E613" i="4"/>
  <c r="D613" i="4"/>
  <c r="H612" i="4"/>
  <c r="I612" i="4" s="1"/>
  <c r="G612" i="4"/>
  <c r="E612" i="4"/>
  <c r="D612" i="4"/>
  <c r="H611" i="4"/>
  <c r="G611" i="4"/>
  <c r="I611" i="4" s="1"/>
  <c r="E611" i="4"/>
  <c r="D611" i="4"/>
  <c r="I610" i="4"/>
  <c r="H610" i="4"/>
  <c r="G610" i="4"/>
  <c r="E610" i="4"/>
  <c r="D610" i="4"/>
  <c r="H609" i="4"/>
  <c r="I609" i="4" s="1"/>
  <c r="G609" i="4"/>
  <c r="E609" i="4"/>
  <c r="D609" i="4"/>
  <c r="I608" i="4"/>
  <c r="H608" i="4"/>
  <c r="G608" i="4"/>
  <c r="E608" i="4"/>
  <c r="D608" i="4"/>
  <c r="I607" i="4"/>
  <c r="H33" i="3" s="1"/>
  <c r="H607" i="4"/>
  <c r="G607" i="4"/>
  <c r="E607" i="4"/>
  <c r="D607" i="4"/>
  <c r="H606" i="4"/>
  <c r="G606" i="4"/>
  <c r="I606" i="4" s="1"/>
  <c r="G33" i="3" s="1"/>
  <c r="E606" i="4"/>
  <c r="D606" i="4"/>
  <c r="H605" i="4"/>
  <c r="G605" i="4"/>
  <c r="I605" i="4" s="1"/>
  <c r="E605" i="4"/>
  <c r="D605" i="4"/>
  <c r="I604" i="4"/>
  <c r="H604" i="4"/>
  <c r="G604" i="4"/>
  <c r="E604" i="4"/>
  <c r="D604" i="4"/>
  <c r="H603" i="4"/>
  <c r="G603" i="4"/>
  <c r="I603" i="4" s="1"/>
  <c r="E603" i="4"/>
  <c r="D603" i="4"/>
  <c r="H602" i="4"/>
  <c r="G602" i="4"/>
  <c r="I602" i="4" s="1"/>
  <c r="E602" i="4"/>
  <c r="D602" i="4"/>
  <c r="I601" i="4"/>
  <c r="H601" i="4"/>
  <c r="G601" i="4"/>
  <c r="E601" i="4"/>
  <c r="D601" i="4"/>
  <c r="H600" i="4"/>
  <c r="I600" i="4" s="1"/>
  <c r="G600" i="4"/>
  <c r="E600" i="4"/>
  <c r="D600" i="4"/>
  <c r="H599" i="4"/>
  <c r="G599" i="4"/>
  <c r="I599" i="4" s="1"/>
  <c r="E599" i="4"/>
  <c r="D599" i="4"/>
  <c r="I598" i="4"/>
  <c r="H598" i="4"/>
  <c r="G598" i="4"/>
  <c r="E598" i="4"/>
  <c r="D598" i="4"/>
  <c r="H597" i="4"/>
  <c r="I597" i="4" s="1"/>
  <c r="G597" i="4"/>
  <c r="E597" i="4"/>
  <c r="D597" i="4"/>
  <c r="I596" i="4"/>
  <c r="H596" i="4"/>
  <c r="G596" i="4"/>
  <c r="E596" i="4"/>
  <c r="D596" i="4"/>
  <c r="I595" i="4"/>
  <c r="H595" i="4"/>
  <c r="G595" i="4"/>
  <c r="E595" i="4"/>
  <c r="D595" i="4"/>
  <c r="H594" i="4"/>
  <c r="G594" i="4"/>
  <c r="E594" i="4"/>
  <c r="D594" i="4"/>
  <c r="H593" i="4"/>
  <c r="G593" i="4"/>
  <c r="I593" i="4" s="1"/>
  <c r="E593" i="4"/>
  <c r="D593" i="4"/>
  <c r="I592" i="4"/>
  <c r="H592" i="4"/>
  <c r="G592" i="4"/>
  <c r="E592" i="4"/>
  <c r="D592" i="4"/>
  <c r="H591" i="4"/>
  <c r="G591" i="4"/>
  <c r="I591" i="4" s="1"/>
  <c r="M32" i="3" s="1"/>
  <c r="E591" i="4"/>
  <c r="D591" i="4"/>
  <c r="H590" i="4"/>
  <c r="G590" i="4"/>
  <c r="I590" i="4" s="1"/>
  <c r="E590" i="4"/>
  <c r="D590" i="4"/>
  <c r="H589" i="4"/>
  <c r="I589" i="4" s="1"/>
  <c r="K32" i="3" s="1"/>
  <c r="G589" i="4"/>
  <c r="E589" i="4"/>
  <c r="D589" i="4"/>
  <c r="H588" i="4"/>
  <c r="I588" i="4" s="1"/>
  <c r="G588" i="4"/>
  <c r="E588" i="4"/>
  <c r="D588" i="4"/>
  <c r="H587" i="4"/>
  <c r="G587" i="4"/>
  <c r="I587" i="4" s="1"/>
  <c r="E587" i="4"/>
  <c r="D587" i="4"/>
  <c r="I586" i="4"/>
  <c r="H586" i="4"/>
  <c r="G586" i="4"/>
  <c r="E586" i="4"/>
  <c r="D586" i="4"/>
  <c r="H585" i="4"/>
  <c r="I585" i="4" s="1"/>
  <c r="G585" i="4"/>
  <c r="E585" i="4"/>
  <c r="D585" i="4"/>
  <c r="I584" i="4"/>
  <c r="H32" i="3" s="1"/>
  <c r="H584" i="4"/>
  <c r="G584" i="4"/>
  <c r="E584" i="4"/>
  <c r="D584" i="4"/>
  <c r="I583" i="4"/>
  <c r="H583" i="4"/>
  <c r="G583" i="4"/>
  <c r="E583" i="4"/>
  <c r="D583" i="4"/>
  <c r="H582" i="4"/>
  <c r="G582" i="4"/>
  <c r="I582" i="4" s="1"/>
  <c r="E582" i="4"/>
  <c r="D582" i="4"/>
  <c r="H581" i="4"/>
  <c r="G581" i="4"/>
  <c r="I581" i="4" s="1"/>
  <c r="E581" i="4"/>
  <c r="D581" i="4"/>
  <c r="I580" i="4"/>
  <c r="H580" i="4"/>
  <c r="G580" i="4"/>
  <c r="E580" i="4"/>
  <c r="D580" i="4"/>
  <c r="H579" i="4"/>
  <c r="G579" i="4"/>
  <c r="I579" i="4" s="1"/>
  <c r="F32" i="3" s="1"/>
  <c r="E579" i="4"/>
  <c r="D579" i="4"/>
  <c r="H578" i="4"/>
  <c r="G578" i="4"/>
  <c r="I578" i="4" s="1"/>
  <c r="E578" i="4"/>
  <c r="D578" i="4"/>
  <c r="I577" i="4"/>
  <c r="H577" i="4"/>
  <c r="G577" i="4"/>
  <c r="E577" i="4"/>
  <c r="D577" i="4"/>
  <c r="H576" i="4"/>
  <c r="I576" i="4" s="1"/>
  <c r="G576" i="4"/>
  <c r="E576" i="4"/>
  <c r="D576" i="4"/>
  <c r="H575" i="4"/>
  <c r="G575" i="4"/>
  <c r="I575" i="4" s="1"/>
  <c r="D32" i="3" s="1"/>
  <c r="E575" i="4"/>
  <c r="D575" i="4"/>
  <c r="I574" i="4"/>
  <c r="H574" i="4"/>
  <c r="G574" i="4"/>
  <c r="E574" i="4"/>
  <c r="D574" i="4"/>
  <c r="H573" i="4"/>
  <c r="I573" i="4" s="1"/>
  <c r="G573" i="4"/>
  <c r="E573" i="4"/>
  <c r="D573" i="4"/>
  <c r="I572" i="4"/>
  <c r="H572" i="4"/>
  <c r="G572" i="4"/>
  <c r="E572" i="4"/>
  <c r="D572" i="4"/>
  <c r="I571" i="4"/>
  <c r="H571" i="4"/>
  <c r="G571" i="4"/>
  <c r="E571" i="4"/>
  <c r="D571" i="4"/>
  <c r="H570" i="4"/>
  <c r="G570" i="4"/>
  <c r="I570" i="4" s="1"/>
  <c r="E570" i="4"/>
  <c r="D570" i="4"/>
  <c r="H569" i="4"/>
  <c r="G569" i="4"/>
  <c r="I569" i="4" s="1"/>
  <c r="E569" i="4"/>
  <c r="D569" i="4"/>
  <c r="I568" i="4"/>
  <c r="H568" i="4"/>
  <c r="G568" i="4"/>
  <c r="E568" i="4"/>
  <c r="D568" i="4"/>
  <c r="H567" i="4"/>
  <c r="G567" i="4"/>
  <c r="I567" i="4" s="1"/>
  <c r="E567" i="4"/>
  <c r="D567" i="4"/>
  <c r="H566" i="4"/>
  <c r="G566" i="4"/>
  <c r="I566" i="4" s="1"/>
  <c r="E566" i="4"/>
  <c r="D566" i="4"/>
  <c r="H565" i="4"/>
  <c r="I565" i="4" s="1"/>
  <c r="B32" i="3" s="1"/>
  <c r="G565" i="4"/>
  <c r="E565" i="4"/>
  <c r="D565" i="4"/>
  <c r="H564" i="4"/>
  <c r="I564" i="4" s="1"/>
  <c r="G564" i="4"/>
  <c r="E564" i="4"/>
  <c r="D564" i="4"/>
  <c r="H563" i="4"/>
  <c r="G563" i="4"/>
  <c r="I563" i="4" s="1"/>
  <c r="E563" i="4"/>
  <c r="D563" i="4"/>
  <c r="I562" i="4"/>
  <c r="H562" i="4"/>
  <c r="G562" i="4"/>
  <c r="E562" i="4"/>
  <c r="D562" i="4"/>
  <c r="H561" i="4"/>
  <c r="I561" i="4" s="1"/>
  <c r="G561" i="4"/>
  <c r="E561" i="4"/>
  <c r="D561" i="4"/>
  <c r="I560" i="4"/>
  <c r="H560" i="4"/>
  <c r="G560" i="4"/>
  <c r="E560" i="4"/>
  <c r="D560" i="4"/>
  <c r="I559" i="4"/>
  <c r="H559" i="4"/>
  <c r="G559" i="4"/>
  <c r="E559" i="4"/>
  <c r="D559" i="4"/>
  <c r="H558" i="4"/>
  <c r="G558" i="4"/>
  <c r="I558" i="4" s="1"/>
  <c r="E558" i="4"/>
  <c r="D558" i="4"/>
  <c r="H557" i="4"/>
  <c r="G557" i="4"/>
  <c r="I557" i="4" s="1"/>
  <c r="F31" i="3" s="1"/>
  <c r="E557" i="4"/>
  <c r="D557" i="4"/>
  <c r="I556" i="4"/>
  <c r="H556" i="4"/>
  <c r="G556" i="4"/>
  <c r="E556" i="4"/>
  <c r="D556" i="4"/>
  <c r="H555" i="4"/>
  <c r="G555" i="4"/>
  <c r="I555" i="4" s="1"/>
  <c r="E555" i="4"/>
  <c r="D555" i="4"/>
  <c r="H554" i="4"/>
  <c r="G554" i="4"/>
  <c r="I554" i="4" s="1"/>
  <c r="E554" i="4"/>
  <c r="D554" i="4"/>
  <c r="I553" i="4"/>
  <c r="E31" i="3" s="1"/>
  <c r="H553" i="4"/>
  <c r="G553" i="4"/>
  <c r="E553" i="4"/>
  <c r="D553" i="4"/>
  <c r="H552" i="4"/>
  <c r="I552" i="4" s="1"/>
  <c r="G552" i="4"/>
  <c r="E552" i="4"/>
  <c r="D552" i="4"/>
  <c r="H551" i="4"/>
  <c r="G551" i="4"/>
  <c r="I551" i="4" s="1"/>
  <c r="E551" i="4"/>
  <c r="D551" i="4"/>
  <c r="I550" i="4"/>
  <c r="H550" i="4"/>
  <c r="G550" i="4"/>
  <c r="E550" i="4"/>
  <c r="D550" i="4"/>
  <c r="H549" i="4"/>
  <c r="I549" i="4" s="1"/>
  <c r="G549" i="4"/>
  <c r="E549" i="4"/>
  <c r="D549" i="4"/>
  <c r="I548" i="4"/>
  <c r="H548" i="4"/>
  <c r="G548" i="4"/>
  <c r="E548" i="4"/>
  <c r="D548" i="4"/>
  <c r="I547" i="4"/>
  <c r="H547" i="4"/>
  <c r="G547" i="4"/>
  <c r="E547" i="4"/>
  <c r="D547" i="4"/>
  <c r="H546" i="4"/>
  <c r="G546" i="4"/>
  <c r="E546" i="4"/>
  <c r="D546" i="4"/>
  <c r="H545" i="4"/>
  <c r="G545" i="4"/>
  <c r="I545" i="4" s="1"/>
  <c r="E545" i="4"/>
  <c r="D545" i="4"/>
  <c r="I544" i="4"/>
  <c r="H544" i="4"/>
  <c r="G544" i="4"/>
  <c r="E544" i="4"/>
  <c r="D544" i="4"/>
  <c r="H543" i="4"/>
  <c r="G543" i="4"/>
  <c r="I543" i="4" s="1"/>
  <c r="E543" i="4"/>
  <c r="D543" i="4"/>
  <c r="H542" i="4"/>
  <c r="G542" i="4"/>
  <c r="I542" i="4" s="1"/>
  <c r="E542" i="4"/>
  <c r="D542" i="4"/>
  <c r="H541" i="4"/>
  <c r="I541" i="4" s="1"/>
  <c r="K30" i="3" s="1"/>
  <c r="G541" i="4"/>
  <c r="E541" i="4"/>
  <c r="D541" i="4"/>
  <c r="H540" i="4"/>
  <c r="I540" i="4" s="1"/>
  <c r="G540" i="4"/>
  <c r="E540" i="4"/>
  <c r="D540" i="4"/>
  <c r="H539" i="4"/>
  <c r="G539" i="4"/>
  <c r="I539" i="4" s="1"/>
  <c r="E539" i="4"/>
  <c r="D539" i="4"/>
  <c r="I538" i="4"/>
  <c r="H538" i="4"/>
  <c r="G538" i="4"/>
  <c r="E538" i="4"/>
  <c r="D538" i="4"/>
  <c r="H537" i="4"/>
  <c r="I537" i="4" s="1"/>
  <c r="G537" i="4"/>
  <c r="E537" i="4"/>
  <c r="D537" i="4"/>
  <c r="I536" i="4"/>
  <c r="H536" i="4"/>
  <c r="G536" i="4"/>
  <c r="E536" i="4"/>
  <c r="D536" i="4"/>
  <c r="I535" i="4"/>
  <c r="H535" i="4"/>
  <c r="G535" i="4"/>
  <c r="E535" i="4"/>
  <c r="D535" i="4"/>
  <c r="H534" i="4"/>
  <c r="G534" i="4"/>
  <c r="I534" i="4" s="1"/>
  <c r="E534" i="4"/>
  <c r="D534" i="4"/>
  <c r="H533" i="4"/>
  <c r="G533" i="4"/>
  <c r="I533" i="4" s="1"/>
  <c r="E533" i="4"/>
  <c r="D533" i="4"/>
  <c r="I532" i="4"/>
  <c r="H532" i="4"/>
  <c r="G532" i="4"/>
  <c r="E532" i="4"/>
  <c r="D532" i="4"/>
  <c r="H531" i="4"/>
  <c r="G531" i="4"/>
  <c r="I531" i="4" s="1"/>
  <c r="E531" i="4"/>
  <c r="D531" i="4"/>
  <c r="H530" i="4"/>
  <c r="G530" i="4"/>
  <c r="I530" i="4" s="1"/>
  <c r="E530" i="4"/>
  <c r="D530" i="4"/>
  <c r="H529" i="4"/>
  <c r="I529" i="4" s="1"/>
  <c r="D30" i="3" s="1"/>
  <c r="G529" i="4"/>
  <c r="E529" i="4"/>
  <c r="D529" i="4"/>
  <c r="H528" i="4"/>
  <c r="I528" i="4" s="1"/>
  <c r="G528" i="4"/>
  <c r="E528" i="4"/>
  <c r="D528" i="4"/>
  <c r="H527" i="4"/>
  <c r="G527" i="4"/>
  <c r="I527" i="4" s="1"/>
  <c r="C30" i="3" s="1"/>
  <c r="E527" i="4"/>
  <c r="D527" i="4"/>
  <c r="I526" i="4"/>
  <c r="H526" i="4"/>
  <c r="G526" i="4"/>
  <c r="E526" i="4"/>
  <c r="D526" i="4"/>
  <c r="H525" i="4"/>
  <c r="I525" i="4" s="1"/>
  <c r="G525" i="4"/>
  <c r="E525" i="4"/>
  <c r="D525" i="4"/>
  <c r="I524" i="4"/>
  <c r="H524" i="4"/>
  <c r="G524" i="4"/>
  <c r="E524" i="4"/>
  <c r="D524" i="4"/>
  <c r="I523" i="4"/>
  <c r="H523" i="4"/>
  <c r="G523" i="4"/>
  <c r="E523" i="4"/>
  <c r="D523" i="4"/>
  <c r="H522" i="4"/>
  <c r="G522" i="4"/>
  <c r="I522" i="4" s="1"/>
  <c r="B30" i="3" s="1"/>
  <c r="E522" i="4"/>
  <c r="D522" i="4"/>
  <c r="H521" i="4"/>
  <c r="G521" i="4"/>
  <c r="I521" i="4" s="1"/>
  <c r="E521" i="4"/>
  <c r="D521" i="4"/>
  <c r="I520" i="4"/>
  <c r="H520" i="4"/>
  <c r="G520" i="4"/>
  <c r="E520" i="4"/>
  <c r="D520" i="4"/>
  <c r="H519" i="4"/>
  <c r="G519" i="4"/>
  <c r="I519" i="4" s="1"/>
  <c r="K29" i="3" s="1"/>
  <c r="E519" i="4"/>
  <c r="D519" i="4"/>
  <c r="H518" i="4"/>
  <c r="G518" i="4"/>
  <c r="I518" i="4" s="1"/>
  <c r="E518" i="4"/>
  <c r="D518" i="4"/>
  <c r="H517" i="4"/>
  <c r="I517" i="4" s="1"/>
  <c r="G517" i="4"/>
  <c r="E517" i="4"/>
  <c r="D517" i="4"/>
  <c r="H516" i="4"/>
  <c r="I516" i="4" s="1"/>
  <c r="I29" i="3" s="1"/>
  <c r="G516" i="4"/>
  <c r="E516" i="4"/>
  <c r="D516" i="4"/>
  <c r="H515" i="4"/>
  <c r="G515" i="4"/>
  <c r="I515" i="4" s="1"/>
  <c r="E515" i="4"/>
  <c r="D515" i="4"/>
  <c r="I514" i="4"/>
  <c r="H514" i="4"/>
  <c r="G514" i="4"/>
  <c r="E514" i="4"/>
  <c r="D514" i="4"/>
  <c r="H513" i="4"/>
  <c r="I513" i="4" s="1"/>
  <c r="G513" i="4"/>
  <c r="E513" i="4"/>
  <c r="D513" i="4"/>
  <c r="I512" i="4"/>
  <c r="H512" i="4"/>
  <c r="G512" i="4"/>
  <c r="E512" i="4"/>
  <c r="D512" i="4"/>
  <c r="I511" i="4"/>
  <c r="H511" i="4"/>
  <c r="G511" i="4"/>
  <c r="E511" i="4"/>
  <c r="D511" i="4"/>
  <c r="H510" i="4"/>
  <c r="G510" i="4"/>
  <c r="I510" i="4" s="1"/>
  <c r="D29" i="3" s="1"/>
  <c r="E510" i="4"/>
  <c r="D510" i="4"/>
  <c r="H509" i="4"/>
  <c r="G509" i="4"/>
  <c r="I509" i="4" s="1"/>
  <c r="E509" i="4"/>
  <c r="D509" i="4"/>
  <c r="I508" i="4"/>
  <c r="H508" i="4"/>
  <c r="G508" i="4"/>
  <c r="E508" i="4"/>
  <c r="D508" i="4"/>
  <c r="H507" i="4"/>
  <c r="G507" i="4"/>
  <c r="I507" i="4" s="1"/>
  <c r="E507" i="4"/>
  <c r="D507" i="4"/>
  <c r="H506" i="4"/>
  <c r="G506" i="4"/>
  <c r="I506" i="4" s="1"/>
  <c r="E506" i="4"/>
  <c r="D506" i="4"/>
  <c r="I505" i="4"/>
  <c r="B29" i="3" s="1"/>
  <c r="H505" i="4"/>
  <c r="G505" i="4"/>
  <c r="E505" i="4"/>
  <c r="D505" i="4"/>
  <c r="H504" i="4"/>
  <c r="I504" i="4" s="1"/>
  <c r="G504" i="4"/>
  <c r="E504" i="4"/>
  <c r="D504" i="4"/>
  <c r="H503" i="4"/>
  <c r="G503" i="4"/>
  <c r="I503" i="4" s="1"/>
  <c r="E503" i="4"/>
  <c r="D503" i="4"/>
  <c r="I502" i="4"/>
  <c r="H502" i="4"/>
  <c r="G502" i="4"/>
  <c r="E502" i="4"/>
  <c r="D502" i="4"/>
  <c r="H501" i="4"/>
  <c r="I501" i="4" s="1"/>
  <c r="G501" i="4"/>
  <c r="E501" i="4"/>
  <c r="D501" i="4"/>
  <c r="I500" i="4"/>
  <c r="H500" i="4"/>
  <c r="G500" i="4"/>
  <c r="E500" i="4"/>
  <c r="D500" i="4"/>
  <c r="I499" i="4"/>
  <c r="H499" i="4"/>
  <c r="G499" i="4"/>
  <c r="E499" i="4"/>
  <c r="D499" i="4"/>
  <c r="H498" i="4"/>
  <c r="G498" i="4"/>
  <c r="E498" i="4"/>
  <c r="D498" i="4"/>
  <c r="H497" i="4"/>
  <c r="G497" i="4"/>
  <c r="I497" i="4" s="1"/>
  <c r="H28" i="3" s="1"/>
  <c r="E497" i="4"/>
  <c r="D497" i="4"/>
  <c r="I496" i="4"/>
  <c r="H496" i="4"/>
  <c r="G496" i="4"/>
  <c r="E496" i="4"/>
  <c r="D496" i="4"/>
  <c r="H495" i="4"/>
  <c r="G495" i="4"/>
  <c r="I495" i="4" s="1"/>
  <c r="E495" i="4"/>
  <c r="D495" i="4"/>
  <c r="H494" i="4"/>
  <c r="G494" i="4"/>
  <c r="I494" i="4" s="1"/>
  <c r="E494" i="4"/>
  <c r="D494" i="4"/>
  <c r="H493" i="4"/>
  <c r="I493" i="4" s="1"/>
  <c r="E28" i="3" s="1"/>
  <c r="G493" i="4"/>
  <c r="E493" i="4"/>
  <c r="D493" i="4"/>
  <c r="H492" i="4"/>
  <c r="I492" i="4" s="1"/>
  <c r="G492" i="4"/>
  <c r="E492" i="4"/>
  <c r="D492" i="4"/>
  <c r="H491" i="4"/>
  <c r="G491" i="4"/>
  <c r="I491" i="4" s="1"/>
  <c r="E491" i="4"/>
  <c r="D491" i="4"/>
  <c r="I490" i="4"/>
  <c r="H490" i="4"/>
  <c r="G490" i="4"/>
  <c r="E490" i="4"/>
  <c r="D490" i="4"/>
  <c r="H489" i="4"/>
  <c r="I489" i="4" s="1"/>
  <c r="C28" i="3" s="1"/>
  <c r="G489" i="4"/>
  <c r="E489" i="4"/>
  <c r="D489" i="4"/>
  <c r="I488" i="4"/>
  <c r="H488" i="4"/>
  <c r="G488" i="4"/>
  <c r="E488" i="4"/>
  <c r="D488" i="4"/>
  <c r="I487" i="4"/>
  <c r="H487" i="4"/>
  <c r="G487" i="4"/>
  <c r="E487" i="4"/>
  <c r="D487" i="4"/>
  <c r="H486" i="4"/>
  <c r="G486" i="4"/>
  <c r="I486" i="4" s="1"/>
  <c r="E486" i="4"/>
  <c r="D486" i="4"/>
  <c r="H485" i="4"/>
  <c r="G485" i="4"/>
  <c r="I485" i="4" s="1"/>
  <c r="E485" i="4"/>
  <c r="D485" i="4"/>
  <c r="I484" i="4"/>
  <c r="H484" i="4"/>
  <c r="G484" i="4"/>
  <c r="E484" i="4"/>
  <c r="D484" i="4"/>
  <c r="H483" i="4"/>
  <c r="G483" i="4"/>
  <c r="I483" i="4" s="1"/>
  <c r="E483" i="4"/>
  <c r="D483" i="4"/>
  <c r="H482" i="4"/>
  <c r="G482" i="4"/>
  <c r="I482" i="4" s="1"/>
  <c r="E482" i="4"/>
  <c r="D482" i="4"/>
  <c r="H481" i="4"/>
  <c r="I481" i="4" s="1"/>
  <c r="I27" i="3" s="1"/>
  <c r="G481" i="4"/>
  <c r="E481" i="4"/>
  <c r="D481" i="4"/>
  <c r="H480" i="4"/>
  <c r="I480" i="4" s="1"/>
  <c r="G480" i="4"/>
  <c r="E480" i="4"/>
  <c r="D480" i="4"/>
  <c r="H479" i="4"/>
  <c r="G479" i="4"/>
  <c r="I479" i="4" s="1"/>
  <c r="E479" i="4"/>
  <c r="D479" i="4"/>
  <c r="I478" i="4"/>
  <c r="H478" i="4"/>
  <c r="G478" i="4"/>
  <c r="E478" i="4"/>
  <c r="D478" i="4"/>
  <c r="H477" i="4"/>
  <c r="I477" i="4" s="1"/>
  <c r="G477" i="4"/>
  <c r="E477" i="4"/>
  <c r="D477" i="4"/>
  <c r="I476" i="4"/>
  <c r="H476" i="4"/>
  <c r="G476" i="4"/>
  <c r="E476" i="4"/>
  <c r="D476" i="4"/>
  <c r="I475" i="4"/>
  <c r="H475" i="4"/>
  <c r="G475" i="4"/>
  <c r="E475" i="4"/>
  <c r="D475" i="4"/>
  <c r="H474" i="4"/>
  <c r="G474" i="4"/>
  <c r="E474" i="4"/>
  <c r="D474" i="4"/>
  <c r="H473" i="4"/>
  <c r="G473" i="4"/>
  <c r="I473" i="4" s="1"/>
  <c r="C27" i="3" s="1"/>
  <c r="E473" i="4"/>
  <c r="D473" i="4"/>
  <c r="I472" i="4"/>
  <c r="H472" i="4"/>
  <c r="G472" i="4"/>
  <c r="E472" i="4"/>
  <c r="D472" i="4"/>
  <c r="H471" i="4"/>
  <c r="G471" i="4"/>
  <c r="I471" i="4" s="1"/>
  <c r="E471" i="4"/>
  <c r="D471" i="4"/>
  <c r="H470" i="4"/>
  <c r="G470" i="4"/>
  <c r="I470" i="4" s="1"/>
  <c r="E470" i="4"/>
  <c r="D470" i="4"/>
  <c r="H469" i="4"/>
  <c r="I469" i="4" s="1"/>
  <c r="B27" i="3" s="1"/>
  <c r="G469" i="4"/>
  <c r="E469" i="4"/>
  <c r="D469" i="4"/>
  <c r="H468" i="4"/>
  <c r="I468" i="4" s="1"/>
  <c r="G468" i="4"/>
  <c r="E468" i="4"/>
  <c r="D468" i="4"/>
  <c r="H467" i="4"/>
  <c r="G467" i="4"/>
  <c r="I467" i="4" s="1"/>
  <c r="E467" i="4"/>
  <c r="D467" i="4"/>
  <c r="I466" i="4"/>
  <c r="H466" i="4"/>
  <c r="G466" i="4"/>
  <c r="E466" i="4"/>
  <c r="D466" i="4"/>
  <c r="H465" i="4"/>
  <c r="I465" i="4" s="1"/>
  <c r="G465" i="4"/>
  <c r="E465" i="4"/>
  <c r="D465" i="4"/>
  <c r="I464" i="4"/>
  <c r="H464" i="4"/>
  <c r="G464" i="4"/>
  <c r="E464" i="4"/>
  <c r="D464" i="4"/>
  <c r="I463" i="4"/>
  <c r="H463" i="4"/>
  <c r="G463" i="4"/>
  <c r="E463" i="4"/>
  <c r="D463" i="4"/>
  <c r="H462" i="4"/>
  <c r="G462" i="4"/>
  <c r="I462" i="4" s="1"/>
  <c r="H26" i="3" s="1"/>
  <c r="E462" i="4"/>
  <c r="D462" i="4"/>
  <c r="H461" i="4"/>
  <c r="G461" i="4"/>
  <c r="I461" i="4" s="1"/>
  <c r="E461" i="4"/>
  <c r="D461" i="4"/>
  <c r="I460" i="4"/>
  <c r="H460" i="4"/>
  <c r="G460" i="4"/>
  <c r="E460" i="4"/>
  <c r="D460" i="4"/>
  <c r="H459" i="4"/>
  <c r="G459" i="4"/>
  <c r="I459" i="4" s="1"/>
  <c r="E459" i="4"/>
  <c r="D459" i="4"/>
  <c r="H458" i="4"/>
  <c r="G458" i="4"/>
  <c r="I458" i="4" s="1"/>
  <c r="E458" i="4"/>
  <c r="D458" i="4"/>
  <c r="I457" i="4"/>
  <c r="H457" i="4"/>
  <c r="G457" i="4"/>
  <c r="E457" i="4"/>
  <c r="D457" i="4"/>
  <c r="H456" i="4"/>
  <c r="I456" i="4" s="1"/>
  <c r="G456" i="4"/>
  <c r="E456" i="4"/>
  <c r="D456" i="4"/>
  <c r="H455" i="4"/>
  <c r="G455" i="4"/>
  <c r="I455" i="4" s="1"/>
  <c r="E455" i="4"/>
  <c r="D455" i="4"/>
  <c r="I454" i="4"/>
  <c r="H454" i="4"/>
  <c r="G454" i="4"/>
  <c r="E454" i="4"/>
  <c r="D454" i="4"/>
  <c r="H453" i="4"/>
  <c r="I453" i="4" s="1"/>
  <c r="G453" i="4"/>
  <c r="E453" i="4"/>
  <c r="D453" i="4"/>
  <c r="I452" i="4"/>
  <c r="H452" i="4"/>
  <c r="G452" i="4"/>
  <c r="E452" i="4"/>
  <c r="D452" i="4"/>
  <c r="I451" i="4"/>
  <c r="H451" i="4"/>
  <c r="G451" i="4"/>
  <c r="E451" i="4"/>
  <c r="D451" i="4"/>
  <c r="H450" i="4"/>
  <c r="G450" i="4"/>
  <c r="E450" i="4"/>
  <c r="D450" i="4"/>
  <c r="H449" i="4"/>
  <c r="G449" i="4"/>
  <c r="I449" i="4" s="1"/>
  <c r="E449" i="4"/>
  <c r="D449" i="4"/>
  <c r="I448" i="4"/>
  <c r="H448" i="4"/>
  <c r="G448" i="4"/>
  <c r="E448" i="4"/>
  <c r="D448" i="4"/>
  <c r="H447" i="4"/>
  <c r="G447" i="4"/>
  <c r="I447" i="4" s="1"/>
  <c r="E447" i="4"/>
  <c r="D447" i="4"/>
  <c r="H446" i="4"/>
  <c r="G446" i="4"/>
  <c r="I446" i="4" s="1"/>
  <c r="E446" i="4"/>
  <c r="D446" i="4"/>
  <c r="H445" i="4"/>
  <c r="I445" i="4" s="1"/>
  <c r="I25" i="3" s="1"/>
  <c r="G445" i="4"/>
  <c r="E445" i="4"/>
  <c r="D445" i="4"/>
  <c r="H444" i="4"/>
  <c r="I444" i="4" s="1"/>
  <c r="G444" i="4"/>
  <c r="E444" i="4"/>
  <c r="D444" i="4"/>
  <c r="H443" i="4"/>
  <c r="G443" i="4"/>
  <c r="I443" i="4" s="1"/>
  <c r="H25" i="3" s="1"/>
  <c r="E443" i="4"/>
  <c r="D443" i="4"/>
  <c r="I442" i="4"/>
  <c r="H442" i="4"/>
  <c r="G442" i="4"/>
  <c r="E442" i="4"/>
  <c r="D442" i="4"/>
  <c r="H441" i="4"/>
  <c r="I441" i="4" s="1"/>
  <c r="G441" i="4"/>
  <c r="E441" i="4"/>
  <c r="D441" i="4"/>
  <c r="I440" i="4"/>
  <c r="F25" i="3" s="1"/>
  <c r="H440" i="4"/>
  <c r="G440" i="4"/>
  <c r="E440" i="4"/>
  <c r="D440" i="4"/>
  <c r="I439" i="4"/>
  <c r="H439" i="4"/>
  <c r="G439" i="4"/>
  <c r="E439" i="4"/>
  <c r="D439" i="4"/>
  <c r="H438" i="4"/>
  <c r="G438" i="4"/>
  <c r="I438" i="4" s="1"/>
  <c r="E438" i="4"/>
  <c r="D438" i="4"/>
  <c r="H437" i="4"/>
  <c r="G437" i="4"/>
  <c r="I437" i="4" s="1"/>
  <c r="E437" i="4"/>
  <c r="D437" i="4"/>
  <c r="I436" i="4"/>
  <c r="H436" i="4"/>
  <c r="G436" i="4"/>
  <c r="E436" i="4"/>
  <c r="D436" i="4"/>
  <c r="H435" i="4"/>
  <c r="G435" i="4"/>
  <c r="I435" i="4" s="1"/>
  <c r="C25" i="3" s="1"/>
  <c r="E435" i="4"/>
  <c r="D435" i="4"/>
  <c r="H434" i="4"/>
  <c r="G434" i="4"/>
  <c r="I434" i="4" s="1"/>
  <c r="E434" i="4"/>
  <c r="D434" i="4"/>
  <c r="I433" i="4"/>
  <c r="H433" i="4"/>
  <c r="G433" i="4"/>
  <c r="E433" i="4"/>
  <c r="D433" i="4"/>
  <c r="H432" i="4"/>
  <c r="I432" i="4" s="1"/>
  <c r="B25" i="3" s="1"/>
  <c r="G432" i="4"/>
  <c r="E432" i="4"/>
  <c r="D432" i="4"/>
  <c r="H431" i="4"/>
  <c r="G431" i="4"/>
  <c r="I431" i="4" s="1"/>
  <c r="E431" i="4"/>
  <c r="D431" i="4"/>
  <c r="I430" i="4"/>
  <c r="H430" i="4"/>
  <c r="G430" i="4"/>
  <c r="E430" i="4"/>
  <c r="D430" i="4"/>
  <c r="H429" i="4"/>
  <c r="I429" i="4" s="1"/>
  <c r="K24" i="3" s="1"/>
  <c r="G429" i="4"/>
  <c r="E429" i="4"/>
  <c r="D429" i="4"/>
  <c r="I428" i="4"/>
  <c r="H428" i="4"/>
  <c r="G428" i="4"/>
  <c r="E428" i="4"/>
  <c r="D428" i="4"/>
  <c r="I427" i="4"/>
  <c r="H427" i="4"/>
  <c r="G427" i="4"/>
  <c r="E427" i="4"/>
  <c r="D427" i="4"/>
  <c r="H426" i="4"/>
  <c r="G426" i="4"/>
  <c r="I426" i="4" s="1"/>
  <c r="E426" i="4"/>
  <c r="D426" i="4"/>
  <c r="H425" i="4"/>
  <c r="G425" i="4"/>
  <c r="I425" i="4" s="1"/>
  <c r="E425" i="4"/>
  <c r="D425" i="4"/>
  <c r="I424" i="4"/>
  <c r="H424" i="4"/>
  <c r="G424" i="4"/>
  <c r="E424" i="4"/>
  <c r="D424" i="4"/>
  <c r="H423" i="4"/>
  <c r="G423" i="4"/>
  <c r="I423" i="4" s="1"/>
  <c r="E423" i="4"/>
  <c r="D423" i="4"/>
  <c r="H422" i="4"/>
  <c r="G422" i="4"/>
  <c r="I422" i="4" s="1"/>
  <c r="E422" i="4"/>
  <c r="D422" i="4"/>
  <c r="H421" i="4"/>
  <c r="I421" i="4" s="1"/>
  <c r="E24" i="3" s="1"/>
  <c r="G421" i="4"/>
  <c r="E421" i="4"/>
  <c r="D421" i="4"/>
  <c r="H420" i="4"/>
  <c r="I420" i="4" s="1"/>
  <c r="G420" i="4"/>
  <c r="E420" i="4"/>
  <c r="D420" i="4"/>
  <c r="H419" i="4"/>
  <c r="G419" i="4"/>
  <c r="I419" i="4" s="1"/>
  <c r="E419" i="4"/>
  <c r="D419" i="4"/>
  <c r="I418" i="4"/>
  <c r="H418" i="4"/>
  <c r="G418" i="4"/>
  <c r="E418" i="4"/>
  <c r="D418" i="4"/>
  <c r="H417" i="4"/>
  <c r="I417" i="4" s="1"/>
  <c r="G417" i="4"/>
  <c r="E417" i="4"/>
  <c r="D417" i="4"/>
  <c r="I416" i="4"/>
  <c r="H416" i="4"/>
  <c r="G416" i="4"/>
  <c r="E416" i="4"/>
  <c r="D416" i="4"/>
  <c r="I415" i="4"/>
  <c r="H415" i="4"/>
  <c r="G415" i="4"/>
  <c r="E415" i="4"/>
  <c r="D415" i="4"/>
  <c r="H414" i="4"/>
  <c r="G414" i="4"/>
  <c r="I414" i="4" s="1"/>
  <c r="E414" i="4"/>
  <c r="D414" i="4"/>
  <c r="H413" i="4"/>
  <c r="G413" i="4"/>
  <c r="I413" i="4" s="1"/>
  <c r="B24" i="3" s="1"/>
  <c r="E413" i="4"/>
  <c r="D413" i="4"/>
  <c r="I412" i="4"/>
  <c r="H412" i="4"/>
  <c r="G412" i="4"/>
  <c r="E412" i="4"/>
  <c r="D412" i="4"/>
  <c r="H411" i="4"/>
  <c r="G411" i="4"/>
  <c r="I411" i="4" s="1"/>
  <c r="E411" i="4"/>
  <c r="D411" i="4"/>
  <c r="H410" i="4"/>
  <c r="G410" i="4"/>
  <c r="I410" i="4" s="1"/>
  <c r="E410" i="4"/>
  <c r="D410" i="4"/>
  <c r="I409" i="4"/>
  <c r="H409" i="4"/>
  <c r="G409" i="4"/>
  <c r="E409" i="4"/>
  <c r="D409" i="4"/>
  <c r="H408" i="4"/>
  <c r="I408" i="4" s="1"/>
  <c r="G408" i="4"/>
  <c r="E408" i="4"/>
  <c r="D408" i="4"/>
  <c r="H407" i="4"/>
  <c r="G407" i="4"/>
  <c r="I407" i="4" s="1"/>
  <c r="E407" i="4"/>
  <c r="D407" i="4"/>
  <c r="I406" i="4"/>
  <c r="H406" i="4"/>
  <c r="G406" i="4"/>
  <c r="E406" i="4"/>
  <c r="D406" i="4"/>
  <c r="H405" i="4"/>
  <c r="I405" i="4" s="1"/>
  <c r="G405" i="4"/>
  <c r="E405" i="4"/>
  <c r="D405" i="4"/>
  <c r="I404" i="4"/>
  <c r="H404" i="4"/>
  <c r="G404" i="4"/>
  <c r="E404" i="4"/>
  <c r="D404" i="4"/>
  <c r="I403" i="4"/>
  <c r="H403" i="4"/>
  <c r="G403" i="4"/>
  <c r="E403" i="4"/>
  <c r="D403" i="4"/>
  <c r="H402" i="4"/>
  <c r="G402" i="4"/>
  <c r="E402" i="4"/>
  <c r="D402" i="4"/>
  <c r="H401" i="4"/>
  <c r="G401" i="4"/>
  <c r="I401" i="4" s="1"/>
  <c r="E401" i="4"/>
  <c r="D401" i="4"/>
  <c r="I400" i="4"/>
  <c r="H400" i="4"/>
  <c r="G400" i="4"/>
  <c r="E400" i="4"/>
  <c r="D400" i="4"/>
  <c r="H399" i="4"/>
  <c r="G399" i="4"/>
  <c r="I399" i="4" s="1"/>
  <c r="E399" i="4"/>
  <c r="D399" i="4"/>
  <c r="H398" i="4"/>
  <c r="G398" i="4"/>
  <c r="I398" i="4" s="1"/>
  <c r="E398" i="4"/>
  <c r="D398" i="4"/>
  <c r="I397" i="4"/>
  <c r="H397" i="4"/>
  <c r="G397" i="4"/>
  <c r="E397" i="4"/>
  <c r="D397" i="4"/>
  <c r="H396" i="4"/>
  <c r="I396" i="4" s="1"/>
  <c r="G396" i="4"/>
  <c r="E396" i="4"/>
  <c r="D396" i="4"/>
  <c r="H395" i="4"/>
  <c r="G395" i="4"/>
  <c r="I395" i="4" s="1"/>
  <c r="E395" i="4"/>
  <c r="D395" i="4"/>
  <c r="I394" i="4"/>
  <c r="L23" i="6" s="1"/>
  <c r="H394" i="4"/>
  <c r="G394" i="4"/>
  <c r="E394" i="4"/>
  <c r="D394" i="4"/>
  <c r="H393" i="4"/>
  <c r="I393" i="4" s="1"/>
  <c r="G393" i="4"/>
  <c r="E393" i="4"/>
  <c r="D393" i="4"/>
  <c r="I392" i="4"/>
  <c r="H392" i="4"/>
  <c r="G392" i="4"/>
  <c r="E392" i="4"/>
  <c r="D392" i="4"/>
  <c r="I391" i="4"/>
  <c r="I22" i="3" s="1"/>
  <c r="H391" i="4"/>
  <c r="G391" i="4"/>
  <c r="E391" i="4"/>
  <c r="D391" i="4"/>
  <c r="H390" i="4"/>
  <c r="G390" i="4"/>
  <c r="I390" i="4" s="1"/>
  <c r="E390" i="4"/>
  <c r="D390" i="4"/>
  <c r="H389" i="4"/>
  <c r="G389" i="4"/>
  <c r="I389" i="4" s="1"/>
  <c r="E389" i="4"/>
  <c r="D389" i="4"/>
  <c r="I388" i="4"/>
  <c r="H388" i="4"/>
  <c r="G388" i="4"/>
  <c r="E388" i="4"/>
  <c r="D388" i="4"/>
  <c r="H387" i="4"/>
  <c r="G387" i="4"/>
  <c r="I387" i="4" s="1"/>
  <c r="E387" i="4"/>
  <c r="D387" i="4"/>
  <c r="H386" i="4"/>
  <c r="G386" i="4"/>
  <c r="I386" i="4" s="1"/>
  <c r="F22" i="3" s="1"/>
  <c r="E386" i="4"/>
  <c r="D386" i="4"/>
  <c r="H385" i="4"/>
  <c r="I385" i="4" s="1"/>
  <c r="E22" i="3" s="1"/>
  <c r="G385" i="4"/>
  <c r="E385" i="4"/>
  <c r="D385" i="4"/>
  <c r="H384" i="4"/>
  <c r="I384" i="4" s="1"/>
  <c r="G384" i="4"/>
  <c r="E384" i="4"/>
  <c r="D384" i="4"/>
  <c r="H383" i="4"/>
  <c r="G383" i="4"/>
  <c r="I383" i="4" s="1"/>
  <c r="C22" i="3" s="1"/>
  <c r="E383" i="4"/>
  <c r="D383" i="4"/>
  <c r="I382" i="4"/>
  <c r="H382" i="4"/>
  <c r="G382" i="4"/>
  <c r="E382" i="4"/>
  <c r="D382" i="4"/>
  <c r="H381" i="4"/>
  <c r="I381" i="4" s="1"/>
  <c r="G381" i="4"/>
  <c r="E381" i="4"/>
  <c r="D381" i="4"/>
  <c r="I380" i="4"/>
  <c r="H380" i="4"/>
  <c r="G380" i="4"/>
  <c r="E380" i="4"/>
  <c r="D380" i="4"/>
  <c r="I379" i="4"/>
  <c r="H379" i="4"/>
  <c r="G379" i="4"/>
  <c r="E379" i="4"/>
  <c r="D379" i="4"/>
  <c r="H378" i="4"/>
  <c r="G378" i="4"/>
  <c r="I378" i="4" s="1"/>
  <c r="B22" i="3" s="1"/>
  <c r="E378" i="4"/>
  <c r="D378" i="4"/>
  <c r="H377" i="4"/>
  <c r="G377" i="4"/>
  <c r="I377" i="4" s="1"/>
  <c r="E377" i="4"/>
  <c r="D377" i="4"/>
  <c r="I376" i="4"/>
  <c r="H376" i="4"/>
  <c r="G376" i="4"/>
  <c r="E376" i="4"/>
  <c r="D376" i="4"/>
  <c r="H375" i="4"/>
  <c r="G375" i="4"/>
  <c r="I375" i="4" s="1"/>
  <c r="L21" i="3" s="1"/>
  <c r="E375" i="4"/>
  <c r="D375" i="4"/>
  <c r="H374" i="4"/>
  <c r="G374" i="4"/>
  <c r="I374" i="4" s="1"/>
  <c r="E374" i="4"/>
  <c r="D374" i="4"/>
  <c r="H373" i="4"/>
  <c r="I373" i="4" s="1"/>
  <c r="K21" i="3" s="1"/>
  <c r="G373" i="4"/>
  <c r="E373" i="4"/>
  <c r="D373" i="4"/>
  <c r="H372" i="4"/>
  <c r="I372" i="4" s="1"/>
  <c r="J21" i="3" s="1"/>
  <c r="G372" i="4"/>
  <c r="E372" i="4"/>
  <c r="D372" i="4"/>
  <c r="H371" i="4"/>
  <c r="G371" i="4"/>
  <c r="I371" i="4" s="1"/>
  <c r="E371" i="4"/>
  <c r="D371" i="4"/>
  <c r="I370" i="4"/>
  <c r="H370" i="4"/>
  <c r="G370" i="4"/>
  <c r="E370" i="4"/>
  <c r="D370" i="4"/>
  <c r="H369" i="4"/>
  <c r="I369" i="4" s="1"/>
  <c r="G369" i="4"/>
  <c r="E369" i="4"/>
  <c r="D369" i="4"/>
  <c r="I368" i="4"/>
  <c r="H368" i="4"/>
  <c r="G368" i="4"/>
  <c r="E368" i="4"/>
  <c r="D368" i="4"/>
  <c r="I367" i="4"/>
  <c r="H367" i="4"/>
  <c r="G367" i="4"/>
  <c r="E367" i="4"/>
  <c r="D367" i="4"/>
  <c r="H366" i="4"/>
  <c r="G366" i="4"/>
  <c r="I366" i="4" s="1"/>
  <c r="E366" i="4"/>
  <c r="D366" i="4"/>
  <c r="H365" i="4"/>
  <c r="G365" i="4"/>
  <c r="I365" i="4" s="1"/>
  <c r="E365" i="4"/>
  <c r="D365" i="4"/>
  <c r="I364" i="4"/>
  <c r="H364" i="4"/>
  <c r="G364" i="4"/>
  <c r="E364" i="4"/>
  <c r="D364" i="4"/>
  <c r="H363" i="4"/>
  <c r="G363" i="4"/>
  <c r="I363" i="4" s="1"/>
  <c r="E363" i="4"/>
  <c r="D363" i="4"/>
  <c r="H362" i="4"/>
  <c r="G362" i="4"/>
  <c r="I362" i="4" s="1"/>
  <c r="E362" i="4"/>
  <c r="D362" i="4"/>
  <c r="I361" i="4"/>
  <c r="E21" i="3" s="1"/>
  <c r="H361" i="4"/>
  <c r="G361" i="4"/>
  <c r="E361" i="4"/>
  <c r="D361" i="4"/>
  <c r="H360" i="4"/>
  <c r="I360" i="4" s="1"/>
  <c r="G360" i="4"/>
  <c r="E360" i="4"/>
  <c r="D360" i="4"/>
  <c r="H359" i="4"/>
  <c r="G359" i="4"/>
  <c r="I359" i="4" s="1"/>
  <c r="E359" i="4"/>
  <c r="D359" i="4"/>
  <c r="I358" i="4"/>
  <c r="H358" i="4"/>
  <c r="G358" i="4"/>
  <c r="E358" i="4"/>
  <c r="D358" i="4"/>
  <c r="H357" i="4"/>
  <c r="I357" i="4" s="1"/>
  <c r="G357" i="4"/>
  <c r="E357" i="4"/>
  <c r="D357" i="4"/>
  <c r="I356" i="4"/>
  <c r="H356" i="4"/>
  <c r="G356" i="4"/>
  <c r="E356" i="4"/>
  <c r="D356" i="4"/>
  <c r="I355" i="4"/>
  <c r="H355" i="4"/>
  <c r="G355" i="4"/>
  <c r="E355" i="4"/>
  <c r="D355" i="4"/>
  <c r="H354" i="4"/>
  <c r="G354" i="4"/>
  <c r="E354" i="4"/>
  <c r="D354" i="4"/>
  <c r="H353" i="4"/>
  <c r="G353" i="4"/>
  <c r="I353" i="4" s="1"/>
  <c r="E353" i="4"/>
  <c r="D353" i="4"/>
  <c r="I352" i="4"/>
  <c r="H352" i="4"/>
  <c r="G352" i="4"/>
  <c r="E352" i="4"/>
  <c r="D352" i="4"/>
  <c r="H351" i="4"/>
  <c r="I351" i="4" s="1"/>
  <c r="G351" i="4"/>
  <c r="E351" i="4"/>
  <c r="D351" i="4"/>
  <c r="H350" i="4"/>
  <c r="G350" i="4"/>
  <c r="I350" i="4" s="1"/>
  <c r="E350" i="4"/>
  <c r="D350" i="4"/>
  <c r="H349" i="4"/>
  <c r="I349" i="4" s="1"/>
  <c r="G349" i="4"/>
  <c r="E349" i="4"/>
  <c r="D349" i="4"/>
  <c r="H348" i="4"/>
  <c r="I348" i="4" s="1"/>
  <c r="G348" i="4"/>
  <c r="E348" i="4"/>
  <c r="D348" i="4"/>
  <c r="H347" i="4"/>
  <c r="G347" i="4"/>
  <c r="I347" i="4" s="1"/>
  <c r="E347" i="4"/>
  <c r="D347" i="4"/>
  <c r="I346" i="4"/>
  <c r="H346" i="4"/>
  <c r="G346" i="4"/>
  <c r="E346" i="4"/>
  <c r="D346" i="4"/>
  <c r="H345" i="4"/>
  <c r="I345" i="4" s="1"/>
  <c r="I20" i="3" s="1"/>
  <c r="G345" i="4"/>
  <c r="E345" i="4"/>
  <c r="D345" i="4"/>
  <c r="I344" i="4"/>
  <c r="H344" i="4"/>
  <c r="G344" i="4"/>
  <c r="E344" i="4"/>
  <c r="D344" i="4"/>
  <c r="I343" i="4"/>
  <c r="H343" i="4"/>
  <c r="G343" i="4"/>
  <c r="E343" i="4"/>
  <c r="D343" i="4"/>
  <c r="H342" i="4"/>
  <c r="G342" i="4"/>
  <c r="I342" i="4" s="1"/>
  <c r="E342" i="4"/>
  <c r="D342" i="4"/>
  <c r="H341" i="4"/>
  <c r="G341" i="4"/>
  <c r="I341" i="4" s="1"/>
  <c r="E341" i="4"/>
  <c r="D341" i="4"/>
  <c r="I340" i="4"/>
  <c r="H340" i="4"/>
  <c r="G340" i="4"/>
  <c r="E340" i="4"/>
  <c r="D340" i="4"/>
  <c r="H339" i="4"/>
  <c r="G339" i="4"/>
  <c r="I339" i="4" s="1"/>
  <c r="E339" i="4"/>
  <c r="D339" i="4"/>
  <c r="H338" i="4"/>
  <c r="G338" i="4"/>
  <c r="I338" i="4" s="1"/>
  <c r="E338" i="4"/>
  <c r="D338" i="4"/>
  <c r="H337" i="4"/>
  <c r="I337" i="4" s="1"/>
  <c r="F20" i="3" s="1"/>
  <c r="G337" i="4"/>
  <c r="E337" i="4"/>
  <c r="D337" i="4"/>
  <c r="H336" i="4"/>
  <c r="I336" i="4" s="1"/>
  <c r="G336" i="4"/>
  <c r="E336" i="4"/>
  <c r="D336" i="4"/>
  <c r="H335" i="4"/>
  <c r="G335" i="4"/>
  <c r="I335" i="4" s="1"/>
  <c r="E335" i="4"/>
  <c r="D335" i="4"/>
  <c r="I334" i="4"/>
  <c r="H334" i="4"/>
  <c r="G334" i="4"/>
  <c r="E334" i="4"/>
  <c r="D334" i="4"/>
  <c r="H333" i="4"/>
  <c r="I333" i="4" s="1"/>
  <c r="G333" i="4"/>
  <c r="E333" i="4"/>
  <c r="D333" i="4"/>
  <c r="I332" i="4"/>
  <c r="H332" i="4"/>
  <c r="G332" i="4"/>
  <c r="E332" i="4"/>
  <c r="D332" i="4"/>
  <c r="I331" i="4"/>
  <c r="H331" i="4"/>
  <c r="G331" i="4"/>
  <c r="E331" i="4"/>
  <c r="D331" i="4"/>
  <c r="H330" i="4"/>
  <c r="G330" i="4"/>
  <c r="E330" i="4"/>
  <c r="D330" i="4"/>
  <c r="H329" i="4"/>
  <c r="G329" i="4"/>
  <c r="I329" i="4" s="1"/>
  <c r="E329" i="4"/>
  <c r="D329" i="4"/>
  <c r="I328" i="4"/>
  <c r="H328" i="4"/>
  <c r="G328" i="4"/>
  <c r="E328" i="4"/>
  <c r="D328" i="4"/>
  <c r="H327" i="4"/>
  <c r="I327" i="4" s="1"/>
  <c r="G327" i="4"/>
  <c r="E327" i="4"/>
  <c r="D327" i="4"/>
  <c r="H326" i="4"/>
  <c r="G326" i="4"/>
  <c r="I326" i="4" s="1"/>
  <c r="E326" i="4"/>
  <c r="D326" i="4"/>
  <c r="H325" i="4"/>
  <c r="I325" i="4" s="1"/>
  <c r="B20" i="3" s="1"/>
  <c r="G325" i="4"/>
  <c r="E325" i="4"/>
  <c r="D325" i="4"/>
  <c r="H324" i="4"/>
  <c r="I324" i="4" s="1"/>
  <c r="G324" i="4"/>
  <c r="E324" i="4"/>
  <c r="D324" i="4"/>
  <c r="H323" i="4"/>
  <c r="G323" i="4"/>
  <c r="I323" i="4" s="1"/>
  <c r="E323" i="4"/>
  <c r="D323" i="4"/>
  <c r="I322" i="4"/>
  <c r="H322" i="4"/>
  <c r="G322" i="4"/>
  <c r="E322" i="4"/>
  <c r="D322" i="4"/>
  <c r="H321" i="4"/>
  <c r="I321" i="4" s="1"/>
  <c r="G321" i="4"/>
  <c r="E321" i="4"/>
  <c r="D321" i="4"/>
  <c r="I320" i="4"/>
  <c r="H320" i="4"/>
  <c r="G320" i="4"/>
  <c r="E320" i="4"/>
  <c r="D320" i="4"/>
  <c r="I319" i="4"/>
  <c r="H319" i="4"/>
  <c r="G319" i="4"/>
  <c r="E319" i="4"/>
  <c r="D319" i="4"/>
  <c r="H318" i="4"/>
  <c r="G318" i="4"/>
  <c r="I318" i="4" s="1"/>
  <c r="I19" i="3" s="1"/>
  <c r="E318" i="4"/>
  <c r="D318" i="4"/>
  <c r="H317" i="4"/>
  <c r="G317" i="4"/>
  <c r="I317" i="4" s="1"/>
  <c r="E317" i="4"/>
  <c r="D317" i="4"/>
  <c r="I316" i="4"/>
  <c r="H316" i="4"/>
  <c r="G316" i="4"/>
  <c r="E316" i="4"/>
  <c r="D316" i="4"/>
  <c r="H315" i="4"/>
  <c r="G315" i="4"/>
  <c r="I315" i="4" s="1"/>
  <c r="E315" i="4"/>
  <c r="D315" i="4"/>
  <c r="H314" i="4"/>
  <c r="G314" i="4"/>
  <c r="I314" i="4" s="1"/>
  <c r="E314" i="4"/>
  <c r="D314" i="4"/>
  <c r="I313" i="4"/>
  <c r="H313" i="4"/>
  <c r="G313" i="4"/>
  <c r="E313" i="4"/>
  <c r="D313" i="4"/>
  <c r="H312" i="4"/>
  <c r="I312" i="4" s="1"/>
  <c r="G312" i="4"/>
  <c r="E312" i="4"/>
  <c r="D312" i="4"/>
  <c r="H311" i="4"/>
  <c r="G311" i="4"/>
  <c r="I311" i="4" s="1"/>
  <c r="E311" i="4"/>
  <c r="D311" i="4"/>
  <c r="I310" i="4"/>
  <c r="H310" i="4"/>
  <c r="G310" i="4"/>
  <c r="E310" i="4"/>
  <c r="D310" i="4"/>
  <c r="H309" i="4"/>
  <c r="I309" i="4" s="1"/>
  <c r="G309" i="4"/>
  <c r="E309" i="4"/>
  <c r="D309" i="4"/>
  <c r="I308" i="4"/>
  <c r="H308" i="4"/>
  <c r="G308" i="4"/>
  <c r="E308" i="4"/>
  <c r="D308" i="4"/>
  <c r="I307" i="4"/>
  <c r="H307" i="4"/>
  <c r="G307" i="4"/>
  <c r="E307" i="4"/>
  <c r="D307" i="4"/>
  <c r="H306" i="4"/>
  <c r="G306" i="4"/>
  <c r="E306" i="4"/>
  <c r="D306" i="4"/>
  <c r="H305" i="4"/>
  <c r="G305" i="4"/>
  <c r="I305" i="4" s="1"/>
  <c r="E305" i="4"/>
  <c r="D305" i="4"/>
  <c r="I304" i="4"/>
  <c r="H304" i="4"/>
  <c r="G304" i="4"/>
  <c r="E304" i="4"/>
  <c r="D304" i="4"/>
  <c r="H303" i="4"/>
  <c r="I303" i="4" s="1"/>
  <c r="G303" i="4"/>
  <c r="E303" i="4"/>
  <c r="D303" i="4"/>
  <c r="H302" i="4"/>
  <c r="G302" i="4"/>
  <c r="I302" i="4" s="1"/>
  <c r="E302" i="4"/>
  <c r="D302" i="4"/>
  <c r="H301" i="4"/>
  <c r="I301" i="4" s="1"/>
  <c r="B19" i="3" s="1"/>
  <c r="G301" i="4"/>
  <c r="E301" i="4"/>
  <c r="D301" i="4"/>
  <c r="H300" i="4"/>
  <c r="I300" i="4" s="1"/>
  <c r="G300" i="4"/>
  <c r="E300" i="4"/>
  <c r="D300" i="4"/>
  <c r="H299" i="4"/>
  <c r="G299" i="4"/>
  <c r="I299" i="4" s="1"/>
  <c r="K18" i="3" s="1"/>
  <c r="E299" i="4"/>
  <c r="D299" i="4"/>
  <c r="I298" i="4"/>
  <c r="H298" i="4"/>
  <c r="G298" i="4"/>
  <c r="E298" i="4"/>
  <c r="D298" i="4"/>
  <c r="H297" i="4"/>
  <c r="I297" i="4" s="1"/>
  <c r="G297" i="4"/>
  <c r="E297" i="4"/>
  <c r="D297" i="4"/>
  <c r="I296" i="4"/>
  <c r="I18" i="3" s="1"/>
  <c r="H296" i="4"/>
  <c r="G296" i="4"/>
  <c r="E296" i="4"/>
  <c r="D296" i="4"/>
  <c r="I295" i="4"/>
  <c r="H295" i="4"/>
  <c r="G295" i="4"/>
  <c r="E295" i="4"/>
  <c r="D295" i="4"/>
  <c r="H294" i="4"/>
  <c r="G294" i="4"/>
  <c r="E294" i="4"/>
  <c r="D294" i="4"/>
  <c r="H293" i="4"/>
  <c r="G293" i="4"/>
  <c r="I293" i="4" s="1"/>
  <c r="E293" i="4"/>
  <c r="D293" i="4"/>
  <c r="I292" i="4"/>
  <c r="H292" i="4"/>
  <c r="G292" i="4"/>
  <c r="E292" i="4"/>
  <c r="D292" i="4"/>
  <c r="H291" i="4"/>
  <c r="G291" i="4"/>
  <c r="I291" i="4" s="1"/>
  <c r="E291" i="4"/>
  <c r="D291" i="4"/>
  <c r="H290" i="4"/>
  <c r="G290" i="4"/>
  <c r="I290" i="4" s="1"/>
  <c r="E290" i="4"/>
  <c r="D290" i="4"/>
  <c r="I289" i="4"/>
  <c r="H289" i="4"/>
  <c r="G289" i="4"/>
  <c r="E289" i="4"/>
  <c r="D289" i="4"/>
  <c r="H288" i="4"/>
  <c r="I288" i="4" s="1"/>
  <c r="L16" i="6" s="1"/>
  <c r="G288" i="4"/>
  <c r="E288" i="4"/>
  <c r="D288" i="4"/>
  <c r="H287" i="4"/>
  <c r="G287" i="4"/>
  <c r="I287" i="4" s="1"/>
  <c r="E287" i="4"/>
  <c r="D287" i="4"/>
  <c r="I286" i="4"/>
  <c r="H286" i="4"/>
  <c r="G286" i="4"/>
  <c r="E286" i="4"/>
  <c r="D286" i="4"/>
  <c r="H285" i="4"/>
  <c r="I285" i="4" s="1"/>
  <c r="C18" i="3" s="1"/>
  <c r="G285" i="4"/>
  <c r="E285" i="4"/>
  <c r="D285" i="4"/>
  <c r="I284" i="4"/>
  <c r="H284" i="4"/>
  <c r="G284" i="4"/>
  <c r="E284" i="4"/>
  <c r="D284" i="4"/>
  <c r="I283" i="4"/>
  <c r="H283" i="4"/>
  <c r="G283" i="4"/>
  <c r="E283" i="4"/>
  <c r="D283" i="4"/>
  <c r="H282" i="4"/>
  <c r="G282" i="4"/>
  <c r="I282" i="4" s="1"/>
  <c r="E282" i="4"/>
  <c r="D282" i="4"/>
  <c r="H281" i="4"/>
  <c r="G281" i="4"/>
  <c r="I281" i="4" s="1"/>
  <c r="E281" i="4"/>
  <c r="D281" i="4"/>
  <c r="I280" i="4"/>
  <c r="H280" i="4"/>
  <c r="G280" i="4"/>
  <c r="E280" i="4"/>
  <c r="D280" i="4"/>
  <c r="H279" i="4"/>
  <c r="G279" i="4"/>
  <c r="I279" i="4" s="1"/>
  <c r="E279" i="4"/>
  <c r="D279" i="4"/>
  <c r="H278" i="4"/>
  <c r="G278" i="4"/>
  <c r="I278" i="4" s="1"/>
  <c r="E278" i="4"/>
  <c r="D278" i="4"/>
  <c r="H277" i="4"/>
  <c r="I277" i="4" s="1"/>
  <c r="B18" i="3" s="1"/>
  <c r="G277" i="4"/>
  <c r="E277" i="4"/>
  <c r="D277" i="4"/>
  <c r="H276" i="4"/>
  <c r="I276" i="4" s="1"/>
  <c r="G276" i="4"/>
  <c r="E276" i="4"/>
  <c r="D276" i="4"/>
  <c r="H275" i="4"/>
  <c r="G275" i="4"/>
  <c r="I275" i="4" s="1"/>
  <c r="E275" i="4"/>
  <c r="D275" i="4"/>
  <c r="I274" i="4"/>
  <c r="H274" i="4"/>
  <c r="G274" i="4"/>
  <c r="E274" i="4"/>
  <c r="D274" i="4"/>
  <c r="H273" i="4"/>
  <c r="I273" i="4" s="1"/>
  <c r="G273" i="4"/>
  <c r="E273" i="4"/>
  <c r="D273" i="4"/>
  <c r="I272" i="4"/>
  <c r="H272" i="4"/>
  <c r="G272" i="4"/>
  <c r="E272" i="4"/>
  <c r="D272" i="4"/>
  <c r="I271" i="4"/>
  <c r="H271" i="4"/>
  <c r="G271" i="4"/>
  <c r="E271" i="4"/>
  <c r="D271" i="4"/>
  <c r="H270" i="4"/>
  <c r="G270" i="4"/>
  <c r="I270" i="4" s="1"/>
  <c r="E270" i="4"/>
  <c r="D270" i="4"/>
  <c r="H269" i="4"/>
  <c r="G269" i="4"/>
  <c r="I269" i="4" s="1"/>
  <c r="F17" i="3" s="1"/>
  <c r="E269" i="4"/>
  <c r="D269" i="4"/>
  <c r="I268" i="4"/>
  <c r="H268" i="4"/>
  <c r="G268" i="4"/>
  <c r="E268" i="4"/>
  <c r="D268" i="4"/>
  <c r="H267" i="4"/>
  <c r="I267" i="4" s="1"/>
  <c r="G267" i="4"/>
  <c r="E267" i="4"/>
  <c r="D267" i="4"/>
  <c r="H266" i="4"/>
  <c r="G266" i="4"/>
  <c r="I266" i="4" s="1"/>
  <c r="E266" i="4"/>
  <c r="D266" i="4"/>
  <c r="I265" i="4"/>
  <c r="H265" i="4"/>
  <c r="G265" i="4"/>
  <c r="E265" i="4"/>
  <c r="D265" i="4"/>
  <c r="H264" i="4"/>
  <c r="I264" i="4" s="1"/>
  <c r="G264" i="4"/>
  <c r="E264" i="4"/>
  <c r="D264" i="4"/>
  <c r="H263" i="4"/>
  <c r="G263" i="4"/>
  <c r="I263" i="4" s="1"/>
  <c r="E263" i="4"/>
  <c r="D263" i="4"/>
  <c r="I262" i="4"/>
  <c r="H262" i="4"/>
  <c r="G262" i="4"/>
  <c r="E262" i="4"/>
  <c r="D262" i="4"/>
  <c r="H261" i="4"/>
  <c r="I261" i="4" s="1"/>
  <c r="G261" i="4"/>
  <c r="E261" i="4"/>
  <c r="D261" i="4"/>
  <c r="I260" i="4"/>
  <c r="H260" i="4"/>
  <c r="G260" i="4"/>
  <c r="E260" i="4"/>
  <c r="D260" i="4"/>
  <c r="I259" i="4"/>
  <c r="H259" i="4"/>
  <c r="G259" i="4"/>
  <c r="E259" i="4"/>
  <c r="D259" i="4"/>
  <c r="H258" i="4"/>
  <c r="G258" i="4"/>
  <c r="E258" i="4"/>
  <c r="D258" i="4"/>
  <c r="H257" i="4"/>
  <c r="G257" i="4"/>
  <c r="I257" i="4" s="1"/>
  <c r="E257" i="4"/>
  <c r="D257" i="4"/>
  <c r="I256" i="4"/>
  <c r="H256" i="4"/>
  <c r="G256" i="4"/>
  <c r="E256" i="4"/>
  <c r="D256" i="4"/>
  <c r="H255" i="4"/>
  <c r="G255" i="4"/>
  <c r="I255" i="4" s="1"/>
  <c r="E255" i="4"/>
  <c r="D255" i="4"/>
  <c r="H254" i="4"/>
  <c r="G254" i="4"/>
  <c r="I254" i="4" s="1"/>
  <c r="E254" i="4"/>
  <c r="D254" i="4"/>
  <c r="I253" i="4"/>
  <c r="H253" i="4"/>
  <c r="G253" i="4"/>
  <c r="E253" i="4"/>
  <c r="D253" i="4"/>
  <c r="H252" i="4"/>
  <c r="I252" i="4" s="1"/>
  <c r="G252" i="4"/>
  <c r="E252" i="4"/>
  <c r="D252" i="4"/>
  <c r="H251" i="4"/>
  <c r="G251" i="4"/>
  <c r="I251" i="4" s="1"/>
  <c r="E251" i="4"/>
  <c r="D251" i="4"/>
  <c r="I250" i="4"/>
  <c r="H250" i="4"/>
  <c r="G250" i="4"/>
  <c r="E250" i="4"/>
  <c r="D250" i="4"/>
  <c r="H249" i="4"/>
  <c r="I249" i="4" s="1"/>
  <c r="G249" i="4"/>
  <c r="E249" i="4"/>
  <c r="D249" i="4"/>
  <c r="I248" i="4"/>
  <c r="H248" i="4"/>
  <c r="G248" i="4"/>
  <c r="E248" i="4"/>
  <c r="D248" i="4"/>
  <c r="I247" i="4"/>
  <c r="H247" i="4"/>
  <c r="G247" i="4"/>
  <c r="E247" i="4"/>
  <c r="D247" i="4"/>
  <c r="H246" i="4"/>
  <c r="G246" i="4"/>
  <c r="E246" i="4"/>
  <c r="D246" i="4"/>
  <c r="H245" i="4"/>
  <c r="G245" i="4"/>
  <c r="I245" i="4" s="1"/>
  <c r="E245" i="4"/>
  <c r="D245" i="4"/>
  <c r="I244" i="4"/>
  <c r="H244" i="4"/>
  <c r="G244" i="4"/>
  <c r="E244" i="4"/>
  <c r="D244" i="4"/>
  <c r="H243" i="4"/>
  <c r="I243" i="4" s="1"/>
  <c r="G243" i="4"/>
  <c r="E243" i="4"/>
  <c r="D243" i="4"/>
  <c r="H242" i="4"/>
  <c r="G242" i="4"/>
  <c r="I242" i="4" s="1"/>
  <c r="E242" i="4"/>
  <c r="D242" i="4"/>
  <c r="H241" i="4"/>
  <c r="I241" i="4" s="1"/>
  <c r="K15" i="3" s="1"/>
  <c r="G241" i="4"/>
  <c r="E241" i="4"/>
  <c r="D241" i="4"/>
  <c r="H240" i="4"/>
  <c r="I240" i="4" s="1"/>
  <c r="G240" i="4"/>
  <c r="E240" i="4"/>
  <c r="D240" i="4"/>
  <c r="H239" i="4"/>
  <c r="G239" i="4"/>
  <c r="I239" i="4" s="1"/>
  <c r="I15" i="3" s="1"/>
  <c r="E239" i="4"/>
  <c r="D239" i="4"/>
  <c r="I238" i="4"/>
  <c r="H238" i="4"/>
  <c r="G238" i="4"/>
  <c r="E238" i="4"/>
  <c r="D238" i="4"/>
  <c r="H237" i="4"/>
  <c r="I237" i="4" s="1"/>
  <c r="G237" i="4"/>
  <c r="E237" i="4"/>
  <c r="D237" i="4"/>
  <c r="I236" i="4"/>
  <c r="H236" i="4"/>
  <c r="G236" i="4"/>
  <c r="E236" i="4"/>
  <c r="D236" i="4"/>
  <c r="I235" i="4"/>
  <c r="H235" i="4"/>
  <c r="G235" i="4"/>
  <c r="E235" i="4"/>
  <c r="D235" i="4"/>
  <c r="H234" i="4"/>
  <c r="G234" i="4"/>
  <c r="I234" i="4" s="1"/>
  <c r="F15" i="3" s="1"/>
  <c r="E234" i="4"/>
  <c r="D234" i="4"/>
  <c r="H233" i="4"/>
  <c r="G233" i="4"/>
  <c r="I233" i="4" s="1"/>
  <c r="E233" i="4"/>
  <c r="D233" i="4"/>
  <c r="I232" i="4"/>
  <c r="H232" i="4"/>
  <c r="G232" i="4"/>
  <c r="E232" i="4"/>
  <c r="D232" i="4"/>
  <c r="H231" i="4"/>
  <c r="G231" i="4"/>
  <c r="I231" i="4" s="1"/>
  <c r="E231" i="4"/>
  <c r="D231" i="4"/>
  <c r="H230" i="4"/>
  <c r="G230" i="4"/>
  <c r="I230" i="4" s="1"/>
  <c r="E230" i="4"/>
  <c r="D230" i="4"/>
  <c r="H229" i="4"/>
  <c r="I229" i="4" s="1"/>
  <c r="C15" i="3" s="1"/>
  <c r="G229" i="4"/>
  <c r="E229" i="4"/>
  <c r="D229" i="4"/>
  <c r="H228" i="4"/>
  <c r="I228" i="4" s="1"/>
  <c r="B15" i="3" s="1"/>
  <c r="G228" i="4"/>
  <c r="E228" i="4"/>
  <c r="D228" i="4"/>
  <c r="H227" i="4"/>
  <c r="G227" i="4"/>
  <c r="I227" i="4" s="1"/>
  <c r="E227" i="4"/>
  <c r="D227" i="4"/>
  <c r="I226" i="4"/>
  <c r="H226" i="4"/>
  <c r="G226" i="4"/>
  <c r="E226" i="4"/>
  <c r="D226" i="4"/>
  <c r="H225" i="4"/>
  <c r="I225" i="4" s="1"/>
  <c r="G225" i="4"/>
  <c r="E225" i="4"/>
  <c r="D225" i="4"/>
  <c r="I224" i="4"/>
  <c r="H224" i="4"/>
  <c r="G224" i="4"/>
  <c r="E224" i="4"/>
  <c r="D224" i="4"/>
  <c r="I223" i="4"/>
  <c r="H223" i="4"/>
  <c r="G223" i="4"/>
  <c r="E223" i="4"/>
  <c r="D223" i="4"/>
  <c r="H222" i="4"/>
  <c r="G222" i="4"/>
  <c r="I222" i="4" s="1"/>
  <c r="E222" i="4"/>
  <c r="D222" i="4"/>
  <c r="H221" i="4"/>
  <c r="G221" i="4"/>
  <c r="I221" i="4" s="1"/>
  <c r="E221" i="4"/>
  <c r="D221" i="4"/>
  <c r="I220" i="4"/>
  <c r="H14" i="3" s="1"/>
  <c r="H220" i="4"/>
  <c r="G220" i="4"/>
  <c r="E220" i="4"/>
  <c r="D220" i="4"/>
  <c r="H219" i="4"/>
  <c r="I219" i="4" s="1"/>
  <c r="G219" i="4"/>
  <c r="E219" i="4"/>
  <c r="D219" i="4"/>
  <c r="H218" i="4"/>
  <c r="G218" i="4"/>
  <c r="I218" i="4" s="1"/>
  <c r="E218" i="4"/>
  <c r="D218" i="4"/>
  <c r="I217" i="4"/>
  <c r="F14" i="3" s="1"/>
  <c r="H217" i="4"/>
  <c r="G217" i="4"/>
  <c r="E217" i="4"/>
  <c r="D217" i="4"/>
  <c r="H216" i="4"/>
  <c r="I216" i="4" s="1"/>
  <c r="G216" i="4"/>
  <c r="E216" i="4"/>
  <c r="D216" i="4"/>
  <c r="H215" i="4"/>
  <c r="G215" i="4"/>
  <c r="I215" i="4" s="1"/>
  <c r="E215" i="4"/>
  <c r="D215" i="4"/>
  <c r="I214" i="4"/>
  <c r="H214" i="4"/>
  <c r="G214" i="4"/>
  <c r="E214" i="4"/>
  <c r="D214" i="4"/>
  <c r="H213" i="4"/>
  <c r="I213" i="4" s="1"/>
  <c r="G213" i="4"/>
  <c r="E213" i="4"/>
  <c r="D213" i="4"/>
  <c r="I212" i="4"/>
  <c r="H212" i="4"/>
  <c r="G212" i="4"/>
  <c r="E212" i="4"/>
  <c r="D212" i="4"/>
  <c r="I211" i="4"/>
  <c r="H211" i="4"/>
  <c r="G211" i="4"/>
  <c r="E211" i="4"/>
  <c r="D211" i="4"/>
  <c r="H210" i="4"/>
  <c r="G210" i="4"/>
  <c r="E210" i="4"/>
  <c r="D210" i="4"/>
  <c r="H209" i="4"/>
  <c r="G209" i="4"/>
  <c r="I209" i="4" s="1"/>
  <c r="E209" i="4"/>
  <c r="D209" i="4"/>
  <c r="I208" i="4"/>
  <c r="H208" i="4"/>
  <c r="G208" i="4"/>
  <c r="E208" i="4"/>
  <c r="D208" i="4"/>
  <c r="H207" i="4"/>
  <c r="I207" i="4" s="1"/>
  <c r="G207" i="4"/>
  <c r="E207" i="4"/>
  <c r="D207" i="4"/>
  <c r="H206" i="4"/>
  <c r="G206" i="4"/>
  <c r="I206" i="4" s="1"/>
  <c r="E206" i="4"/>
  <c r="D206" i="4"/>
  <c r="I205" i="4"/>
  <c r="H205" i="4"/>
  <c r="G205" i="4"/>
  <c r="E205" i="4"/>
  <c r="D205" i="4"/>
  <c r="H204" i="4"/>
  <c r="I204" i="4" s="1"/>
  <c r="G204" i="4"/>
  <c r="E204" i="4"/>
  <c r="D204" i="4"/>
  <c r="H203" i="4"/>
  <c r="G203" i="4"/>
  <c r="I203" i="4" s="1"/>
  <c r="E203" i="4"/>
  <c r="D203" i="4"/>
  <c r="I202" i="4"/>
  <c r="H202" i="4"/>
  <c r="G202" i="4"/>
  <c r="E202" i="4"/>
  <c r="D202" i="4"/>
  <c r="H201" i="4"/>
  <c r="I201" i="4" s="1"/>
  <c r="G201" i="4"/>
  <c r="E201" i="4"/>
  <c r="D201" i="4"/>
  <c r="I200" i="4"/>
  <c r="H200" i="4"/>
  <c r="G200" i="4"/>
  <c r="E200" i="4"/>
  <c r="D200" i="4"/>
  <c r="I199" i="4"/>
  <c r="H199" i="4"/>
  <c r="G199" i="4"/>
  <c r="E199" i="4"/>
  <c r="D199" i="4"/>
  <c r="H198" i="4"/>
  <c r="G198" i="4"/>
  <c r="E198" i="4"/>
  <c r="D198" i="4"/>
  <c r="H197" i="4"/>
  <c r="G197" i="4"/>
  <c r="I197" i="4" s="1"/>
  <c r="E197" i="4"/>
  <c r="D197" i="4"/>
  <c r="I196" i="4"/>
  <c r="H196" i="4"/>
  <c r="G196" i="4"/>
  <c r="E196" i="4"/>
  <c r="D196" i="4"/>
  <c r="H195" i="4"/>
  <c r="I195" i="4" s="1"/>
  <c r="G195" i="4"/>
  <c r="E195" i="4"/>
  <c r="D195" i="4"/>
  <c r="H194" i="4"/>
  <c r="G194" i="4"/>
  <c r="I194" i="4" s="1"/>
  <c r="E194" i="4"/>
  <c r="D194" i="4"/>
  <c r="H193" i="4"/>
  <c r="I193" i="4" s="1"/>
  <c r="B13" i="3" s="1"/>
  <c r="G193" i="4"/>
  <c r="E193" i="4"/>
  <c r="D193" i="4"/>
  <c r="H192" i="4"/>
  <c r="I192" i="4" s="1"/>
  <c r="G192" i="4"/>
  <c r="E192" i="4"/>
  <c r="D192" i="4"/>
  <c r="H191" i="4"/>
  <c r="G191" i="4"/>
  <c r="I191" i="4" s="1"/>
  <c r="E191" i="4"/>
  <c r="D191" i="4"/>
  <c r="I190" i="4"/>
  <c r="H190" i="4"/>
  <c r="G190" i="4"/>
  <c r="E190" i="4"/>
  <c r="D190" i="4"/>
  <c r="H189" i="4"/>
  <c r="I189" i="4" s="1"/>
  <c r="G189" i="4"/>
  <c r="E189" i="4"/>
  <c r="D189" i="4"/>
  <c r="I188" i="4"/>
  <c r="H188" i="4"/>
  <c r="G188" i="4"/>
  <c r="E188" i="4"/>
  <c r="D188" i="4"/>
  <c r="I187" i="4"/>
  <c r="H187" i="4"/>
  <c r="G187" i="4"/>
  <c r="E187" i="4"/>
  <c r="D187" i="4"/>
  <c r="H186" i="4"/>
  <c r="G186" i="4"/>
  <c r="E186" i="4"/>
  <c r="D186" i="4"/>
  <c r="H185" i="4"/>
  <c r="G185" i="4"/>
  <c r="I185" i="4" s="1"/>
  <c r="H12" i="3" s="1"/>
  <c r="E185" i="4"/>
  <c r="D185" i="4"/>
  <c r="I184" i="4"/>
  <c r="H184" i="4"/>
  <c r="G184" i="4"/>
  <c r="E184" i="4"/>
  <c r="D184" i="4"/>
  <c r="H183" i="4"/>
  <c r="I183" i="4" s="1"/>
  <c r="G183" i="4"/>
  <c r="E183" i="4"/>
  <c r="D183" i="4"/>
  <c r="H182" i="4"/>
  <c r="G182" i="4"/>
  <c r="I182" i="4" s="1"/>
  <c r="E182" i="4"/>
  <c r="D182" i="4"/>
  <c r="H181" i="4"/>
  <c r="I181" i="4" s="1"/>
  <c r="E12" i="3" s="1"/>
  <c r="G181" i="4"/>
  <c r="E181" i="4"/>
  <c r="D181" i="4"/>
  <c r="H180" i="4"/>
  <c r="I180" i="4" s="1"/>
  <c r="G180" i="4"/>
  <c r="E180" i="4"/>
  <c r="D180" i="4"/>
  <c r="H179" i="4"/>
  <c r="G179" i="4"/>
  <c r="I179" i="4" s="1"/>
  <c r="E179" i="4"/>
  <c r="D179" i="4"/>
  <c r="I178" i="4"/>
  <c r="H178" i="4"/>
  <c r="G178" i="4"/>
  <c r="E178" i="4"/>
  <c r="D178" i="4"/>
  <c r="H177" i="4"/>
  <c r="I177" i="4" s="1"/>
  <c r="G177" i="4"/>
  <c r="E177" i="4"/>
  <c r="D177" i="4"/>
  <c r="I176" i="4"/>
  <c r="H176" i="4"/>
  <c r="G176" i="4"/>
  <c r="E176" i="4"/>
  <c r="D176" i="4"/>
  <c r="I175" i="4"/>
  <c r="H175" i="4"/>
  <c r="G175" i="4"/>
  <c r="E175" i="4"/>
  <c r="D175" i="4"/>
  <c r="H174" i="4"/>
  <c r="G174" i="4"/>
  <c r="I174" i="4" s="1"/>
  <c r="B12" i="3" s="1"/>
  <c r="E174" i="4"/>
  <c r="D174" i="4"/>
  <c r="H173" i="4"/>
  <c r="G173" i="4"/>
  <c r="I173" i="4" s="1"/>
  <c r="E173" i="4"/>
  <c r="D173" i="4"/>
  <c r="I172" i="4"/>
  <c r="H172" i="4"/>
  <c r="G172" i="4"/>
  <c r="E172" i="4"/>
  <c r="D172" i="4"/>
  <c r="H171" i="4"/>
  <c r="I171" i="4" s="1"/>
  <c r="K11" i="3" s="1"/>
  <c r="G171" i="4"/>
  <c r="E171" i="4"/>
  <c r="D171" i="4"/>
  <c r="H170" i="4"/>
  <c r="G170" i="4"/>
  <c r="I170" i="4" s="1"/>
  <c r="E170" i="4"/>
  <c r="D170" i="4"/>
  <c r="I169" i="4"/>
  <c r="H169" i="4"/>
  <c r="G169" i="4"/>
  <c r="E169" i="4"/>
  <c r="D169" i="4"/>
  <c r="H168" i="4"/>
  <c r="I168" i="4" s="1"/>
  <c r="L24" i="6" s="1"/>
  <c r="G168" i="4"/>
  <c r="E168" i="4"/>
  <c r="D168" i="4"/>
  <c r="H167" i="4"/>
  <c r="G167" i="4"/>
  <c r="I167" i="4" s="1"/>
  <c r="E167" i="4"/>
  <c r="D167" i="4"/>
  <c r="I166" i="4"/>
  <c r="H166" i="4"/>
  <c r="G166" i="4"/>
  <c r="E166" i="4"/>
  <c r="D166" i="4"/>
  <c r="H165" i="4"/>
  <c r="I165" i="4" s="1"/>
  <c r="G165" i="4"/>
  <c r="E165" i="4"/>
  <c r="D165" i="4"/>
  <c r="I164" i="4"/>
  <c r="H164" i="4"/>
  <c r="G164" i="4"/>
  <c r="E164" i="4"/>
  <c r="D164" i="4"/>
  <c r="I163" i="4"/>
  <c r="E11" i="3" s="1"/>
  <c r="H163" i="4"/>
  <c r="G163" i="4"/>
  <c r="E163" i="4"/>
  <c r="D163" i="4"/>
  <c r="H162" i="4"/>
  <c r="G162" i="4"/>
  <c r="E162" i="4"/>
  <c r="D162" i="4"/>
  <c r="H161" i="4"/>
  <c r="G161" i="4"/>
  <c r="I161" i="4" s="1"/>
  <c r="E161" i="4"/>
  <c r="D161" i="4"/>
  <c r="I160" i="4"/>
  <c r="C11" i="3" s="1"/>
  <c r="H160" i="4"/>
  <c r="G160" i="4"/>
  <c r="E160" i="4"/>
  <c r="D160" i="4"/>
  <c r="H159" i="4"/>
  <c r="I159" i="4" s="1"/>
  <c r="G159" i="4"/>
  <c r="E159" i="4"/>
  <c r="D159" i="4"/>
  <c r="H158" i="4"/>
  <c r="G158" i="4"/>
  <c r="I158" i="4" s="1"/>
  <c r="E158" i="4"/>
  <c r="D158" i="4"/>
  <c r="I157" i="4"/>
  <c r="H157" i="4"/>
  <c r="G157" i="4"/>
  <c r="E157" i="4"/>
  <c r="D157" i="4"/>
  <c r="H156" i="4"/>
  <c r="I156" i="4" s="1"/>
  <c r="G156" i="4"/>
  <c r="E156" i="4"/>
  <c r="D156" i="4"/>
  <c r="H155" i="4"/>
  <c r="G155" i="4"/>
  <c r="I155" i="4" s="1"/>
  <c r="B11" i="3" s="1"/>
  <c r="E155" i="4"/>
  <c r="D155" i="4"/>
  <c r="I154" i="4"/>
  <c r="H154" i="4"/>
  <c r="G154" i="4"/>
  <c r="E154" i="4"/>
  <c r="D154" i="4"/>
  <c r="H153" i="4"/>
  <c r="I153" i="4" s="1"/>
  <c r="G153" i="4"/>
  <c r="E153" i="4"/>
  <c r="D153" i="4"/>
  <c r="I152" i="4"/>
  <c r="K10" i="3" s="1"/>
  <c r="H152" i="4"/>
  <c r="G152" i="4"/>
  <c r="E152" i="4"/>
  <c r="D152" i="4"/>
  <c r="I151" i="4"/>
  <c r="H151" i="4"/>
  <c r="G151" i="4"/>
  <c r="E151" i="4"/>
  <c r="D151" i="4"/>
  <c r="H150" i="4"/>
  <c r="G150" i="4"/>
  <c r="E150" i="4"/>
  <c r="D150" i="4"/>
  <c r="H149" i="4"/>
  <c r="G149" i="4"/>
  <c r="I149" i="4" s="1"/>
  <c r="E149" i="4"/>
  <c r="D149" i="4"/>
  <c r="I148" i="4"/>
  <c r="H148" i="4"/>
  <c r="G148" i="4"/>
  <c r="E148" i="4"/>
  <c r="D148" i="4"/>
  <c r="H147" i="4"/>
  <c r="I147" i="4" s="1"/>
  <c r="G147" i="4"/>
  <c r="E147" i="4"/>
  <c r="D147" i="4"/>
  <c r="H146" i="4"/>
  <c r="G146" i="4"/>
  <c r="I146" i="4" s="1"/>
  <c r="E146" i="4"/>
  <c r="D146" i="4"/>
  <c r="I145" i="4"/>
  <c r="H145" i="4"/>
  <c r="G145" i="4"/>
  <c r="E145" i="4"/>
  <c r="D145" i="4"/>
  <c r="H144" i="4"/>
  <c r="I144" i="4" s="1"/>
  <c r="E10" i="3" s="1"/>
  <c r="G144" i="4"/>
  <c r="E144" i="4"/>
  <c r="D144" i="4"/>
  <c r="H143" i="4"/>
  <c r="G143" i="4"/>
  <c r="I143" i="4" s="1"/>
  <c r="E143" i="4"/>
  <c r="D143" i="4"/>
  <c r="I142" i="4"/>
  <c r="H142" i="4"/>
  <c r="G142" i="4"/>
  <c r="E142" i="4"/>
  <c r="D142" i="4"/>
  <c r="H141" i="4"/>
  <c r="I141" i="4" s="1"/>
  <c r="C10" i="3" s="1"/>
  <c r="G141" i="4"/>
  <c r="E141" i="4"/>
  <c r="D141" i="4"/>
  <c r="I140" i="4"/>
  <c r="H140" i="4"/>
  <c r="G140" i="4"/>
  <c r="E140" i="4"/>
  <c r="D140" i="4"/>
  <c r="I139" i="4"/>
  <c r="H139" i="4"/>
  <c r="G139" i="4"/>
  <c r="E139" i="4"/>
  <c r="D139" i="4"/>
  <c r="H138" i="4"/>
  <c r="G138" i="4"/>
  <c r="I138" i="4" s="1"/>
  <c r="E138" i="4"/>
  <c r="D138" i="4"/>
  <c r="H137" i="4"/>
  <c r="G137" i="4"/>
  <c r="I137" i="4" s="1"/>
  <c r="E137" i="4"/>
  <c r="D137" i="4"/>
  <c r="I136" i="4"/>
  <c r="H136" i="4"/>
  <c r="G136" i="4"/>
  <c r="E136" i="4"/>
  <c r="D136" i="4"/>
  <c r="H135" i="4"/>
  <c r="I135" i="4" s="1"/>
  <c r="G135" i="4"/>
  <c r="E135" i="4"/>
  <c r="D135" i="4"/>
  <c r="H134" i="4"/>
  <c r="G134" i="4"/>
  <c r="I134" i="4" s="1"/>
  <c r="E134" i="4"/>
  <c r="D134" i="4"/>
  <c r="H133" i="4"/>
  <c r="I133" i="4" s="1"/>
  <c r="K9" i="3" s="1"/>
  <c r="G133" i="4"/>
  <c r="E133" i="4"/>
  <c r="D133" i="4"/>
  <c r="H132" i="4"/>
  <c r="I132" i="4" s="1"/>
  <c r="G132" i="4"/>
  <c r="E132" i="4"/>
  <c r="D132" i="4"/>
  <c r="H131" i="4"/>
  <c r="G131" i="4"/>
  <c r="I131" i="4" s="1"/>
  <c r="E131" i="4"/>
  <c r="D131" i="4"/>
  <c r="I130" i="4"/>
  <c r="H130" i="4"/>
  <c r="G130" i="4"/>
  <c r="E130" i="4"/>
  <c r="D130" i="4"/>
  <c r="H129" i="4"/>
  <c r="I129" i="4" s="1"/>
  <c r="G129" i="4"/>
  <c r="E129" i="4"/>
  <c r="D129" i="4"/>
  <c r="I128" i="4"/>
  <c r="H128" i="4"/>
  <c r="G128" i="4"/>
  <c r="E128" i="4"/>
  <c r="D128" i="4"/>
  <c r="I127" i="4"/>
  <c r="H127" i="4"/>
  <c r="G127" i="4"/>
  <c r="E127" i="4"/>
  <c r="D127" i="4"/>
  <c r="H126" i="4"/>
  <c r="G126" i="4"/>
  <c r="I126" i="4" s="1"/>
  <c r="E126" i="4"/>
  <c r="D126" i="4"/>
  <c r="H125" i="4"/>
  <c r="G125" i="4"/>
  <c r="I125" i="4" s="1"/>
  <c r="G9" i="3" s="1"/>
  <c r="E125" i="4"/>
  <c r="D125" i="4"/>
  <c r="I124" i="4"/>
  <c r="H124" i="4"/>
  <c r="G124" i="4"/>
  <c r="E124" i="4"/>
  <c r="D124" i="4"/>
  <c r="H123" i="4"/>
  <c r="I123" i="4" s="1"/>
  <c r="G123" i="4"/>
  <c r="E123" i="4"/>
  <c r="D123" i="4"/>
  <c r="H122" i="4"/>
  <c r="G122" i="4"/>
  <c r="I122" i="4" s="1"/>
  <c r="E122" i="4"/>
  <c r="D122" i="4"/>
  <c r="I121" i="4"/>
  <c r="H121" i="4"/>
  <c r="G121" i="4"/>
  <c r="E121" i="4"/>
  <c r="D121" i="4"/>
  <c r="H120" i="4"/>
  <c r="I120" i="4" s="1"/>
  <c r="G120" i="4"/>
  <c r="E120" i="4"/>
  <c r="D120" i="4"/>
  <c r="H119" i="4"/>
  <c r="G119" i="4"/>
  <c r="I119" i="4" s="1"/>
  <c r="E119" i="4"/>
  <c r="D119" i="4"/>
  <c r="I118" i="4"/>
  <c r="H118" i="4"/>
  <c r="G118" i="4"/>
  <c r="E118" i="4"/>
  <c r="D118" i="4"/>
  <c r="H117" i="4"/>
  <c r="I117" i="4" s="1"/>
  <c r="G117" i="4"/>
  <c r="E117" i="4"/>
  <c r="D117" i="4"/>
  <c r="I116" i="4"/>
  <c r="H116" i="4"/>
  <c r="G116" i="4"/>
  <c r="E116" i="4"/>
  <c r="D116" i="4"/>
  <c r="I115" i="4"/>
  <c r="H115" i="4"/>
  <c r="G115" i="4"/>
  <c r="E115" i="4"/>
  <c r="D115" i="4"/>
  <c r="H114" i="4"/>
  <c r="G114" i="4"/>
  <c r="E114" i="4"/>
  <c r="D114" i="4"/>
  <c r="H113" i="4"/>
  <c r="G113" i="4"/>
  <c r="I113" i="4" s="1"/>
  <c r="E113" i="4"/>
  <c r="D113" i="4"/>
  <c r="I112" i="4"/>
  <c r="H112" i="4"/>
  <c r="G112" i="4"/>
  <c r="E112" i="4"/>
  <c r="D112" i="4"/>
  <c r="H111" i="4"/>
  <c r="I111" i="4" s="1"/>
  <c r="G111" i="4"/>
  <c r="E111" i="4"/>
  <c r="D111" i="4"/>
  <c r="H110" i="4"/>
  <c r="G110" i="4"/>
  <c r="I110" i="4" s="1"/>
  <c r="E110" i="4"/>
  <c r="D110" i="4"/>
  <c r="I109" i="4"/>
  <c r="H109" i="4"/>
  <c r="G109" i="4"/>
  <c r="E109" i="4"/>
  <c r="D109" i="4"/>
  <c r="H108" i="4"/>
  <c r="I108" i="4" s="1"/>
  <c r="G108" i="4"/>
  <c r="E108" i="4"/>
  <c r="D108" i="4"/>
  <c r="H107" i="4"/>
  <c r="G107" i="4"/>
  <c r="E107" i="4"/>
  <c r="D107" i="4"/>
  <c r="I106" i="4"/>
  <c r="H106" i="4"/>
  <c r="G106" i="4"/>
  <c r="E106" i="4"/>
  <c r="D106" i="4"/>
  <c r="H105" i="4"/>
  <c r="I105" i="4" s="1"/>
  <c r="G105" i="4"/>
  <c r="E105" i="4"/>
  <c r="D105" i="4"/>
  <c r="I104" i="4"/>
  <c r="H104" i="4"/>
  <c r="G104" i="4"/>
  <c r="E104" i="4"/>
  <c r="D104" i="4"/>
  <c r="I103" i="4"/>
  <c r="H8" i="3" s="1"/>
  <c r="H103" i="4"/>
  <c r="G103" i="4"/>
  <c r="E103" i="4"/>
  <c r="D103" i="4"/>
  <c r="I102" i="4"/>
  <c r="H102" i="4"/>
  <c r="G102" i="4"/>
  <c r="E102" i="4"/>
  <c r="D102" i="4"/>
  <c r="H101" i="4"/>
  <c r="G101" i="4"/>
  <c r="I101" i="4" s="1"/>
  <c r="E101" i="4"/>
  <c r="D101" i="4"/>
  <c r="H100" i="4"/>
  <c r="G100" i="4"/>
  <c r="I100" i="4" s="1"/>
  <c r="E100" i="4"/>
  <c r="D100" i="4"/>
  <c r="H99" i="4"/>
  <c r="I99" i="4" s="1"/>
  <c r="G99" i="4"/>
  <c r="E99" i="4"/>
  <c r="D99" i="4"/>
  <c r="H98" i="4"/>
  <c r="G98" i="4"/>
  <c r="I98" i="4" s="1"/>
  <c r="F8" i="3" s="1"/>
  <c r="E98" i="4"/>
  <c r="D98" i="4"/>
  <c r="H97" i="4"/>
  <c r="I97" i="4" s="1"/>
  <c r="E8" i="3" s="1"/>
  <c r="G97" i="4"/>
  <c r="E97" i="4"/>
  <c r="D97" i="4"/>
  <c r="H96" i="4"/>
  <c r="I96" i="4" s="1"/>
  <c r="G96" i="4"/>
  <c r="E96" i="4"/>
  <c r="D96" i="4"/>
  <c r="H95" i="4"/>
  <c r="G95" i="4"/>
  <c r="E95" i="4"/>
  <c r="D95" i="4"/>
  <c r="I94" i="4"/>
  <c r="H94" i="4"/>
  <c r="G94" i="4"/>
  <c r="E94" i="4"/>
  <c r="D94" i="4"/>
  <c r="H93" i="4"/>
  <c r="I93" i="4" s="1"/>
  <c r="G93" i="4"/>
  <c r="E93" i="4"/>
  <c r="D93" i="4"/>
  <c r="I92" i="4"/>
  <c r="H92" i="4"/>
  <c r="G92" i="4"/>
  <c r="E92" i="4"/>
  <c r="D92" i="4"/>
  <c r="I91" i="4"/>
  <c r="H91" i="4"/>
  <c r="G91" i="4"/>
  <c r="E91" i="4"/>
  <c r="D91" i="4"/>
  <c r="H90" i="4"/>
  <c r="I90" i="4" s="1"/>
  <c r="C8" i="3" s="1"/>
  <c r="G90" i="4"/>
  <c r="E90" i="4"/>
  <c r="D90" i="4"/>
  <c r="H89" i="4"/>
  <c r="G89" i="4"/>
  <c r="I89" i="4" s="1"/>
  <c r="E89" i="4"/>
  <c r="D89" i="4"/>
  <c r="I88" i="4"/>
  <c r="H88" i="4"/>
  <c r="G88" i="4"/>
  <c r="E88" i="4"/>
  <c r="D88" i="4"/>
  <c r="H87" i="4"/>
  <c r="I87" i="4" s="1"/>
  <c r="G87" i="4"/>
  <c r="E87" i="4"/>
  <c r="D87" i="4"/>
  <c r="H86" i="4"/>
  <c r="G86" i="4"/>
  <c r="I86" i="4" s="1"/>
  <c r="E86" i="4"/>
  <c r="D86" i="4"/>
  <c r="I85" i="4"/>
  <c r="H85" i="4"/>
  <c r="G85" i="4"/>
  <c r="E85" i="4"/>
  <c r="D85" i="4"/>
  <c r="H84" i="4"/>
  <c r="I84" i="4" s="1"/>
  <c r="G84" i="4"/>
  <c r="E84" i="4"/>
  <c r="D84" i="4"/>
  <c r="H83" i="4"/>
  <c r="G83" i="4"/>
  <c r="E83" i="4"/>
  <c r="D83" i="4"/>
  <c r="I82" i="4"/>
  <c r="H82" i="4"/>
  <c r="G82" i="4"/>
  <c r="E82" i="4"/>
  <c r="D82" i="4"/>
  <c r="H81" i="4"/>
  <c r="I81" i="4" s="1"/>
  <c r="G81" i="4"/>
  <c r="E81" i="4"/>
  <c r="D81" i="4"/>
  <c r="I80" i="4"/>
  <c r="H80" i="4"/>
  <c r="G80" i="4"/>
  <c r="E80" i="4"/>
  <c r="D80" i="4"/>
  <c r="I79" i="4"/>
  <c r="I7" i="3" s="1"/>
  <c r="H79" i="4"/>
  <c r="G79" i="4"/>
  <c r="E79" i="4"/>
  <c r="D79" i="4"/>
  <c r="I78" i="4"/>
  <c r="H78" i="4"/>
  <c r="G78" i="4"/>
  <c r="E78" i="4"/>
  <c r="D78" i="4"/>
  <c r="H77" i="4"/>
  <c r="G77" i="4"/>
  <c r="I77" i="4" s="1"/>
  <c r="E77" i="4"/>
  <c r="D77" i="4"/>
  <c r="H76" i="4"/>
  <c r="G76" i="4"/>
  <c r="I76" i="4" s="1"/>
  <c r="E76" i="4"/>
  <c r="D76" i="4"/>
  <c r="H75" i="4"/>
  <c r="I75" i="4" s="1"/>
  <c r="G75" i="4"/>
  <c r="E75" i="4"/>
  <c r="D75" i="4"/>
  <c r="H74" i="4"/>
  <c r="G74" i="4"/>
  <c r="I74" i="4" s="1"/>
  <c r="E74" i="4"/>
  <c r="D74" i="4"/>
  <c r="H73" i="4"/>
  <c r="I73" i="4" s="1"/>
  <c r="F7" i="3" s="1"/>
  <c r="G73" i="4"/>
  <c r="E73" i="4"/>
  <c r="D73" i="4"/>
  <c r="H72" i="4"/>
  <c r="I72" i="4" s="1"/>
  <c r="G72" i="4"/>
  <c r="E72" i="4"/>
  <c r="D72" i="4"/>
  <c r="H71" i="4"/>
  <c r="G71" i="4"/>
  <c r="E71" i="4"/>
  <c r="D71" i="4"/>
  <c r="I70" i="4"/>
  <c r="H70" i="4"/>
  <c r="G70" i="4"/>
  <c r="E70" i="4"/>
  <c r="D70" i="4"/>
  <c r="H69" i="4"/>
  <c r="I69" i="4" s="1"/>
  <c r="G69" i="4"/>
  <c r="E69" i="4"/>
  <c r="D69" i="4"/>
  <c r="I68" i="4"/>
  <c r="H68" i="4"/>
  <c r="G68" i="4"/>
  <c r="E68" i="4"/>
  <c r="D68" i="4"/>
  <c r="I67" i="4"/>
  <c r="H67" i="4"/>
  <c r="G67" i="4"/>
  <c r="E67" i="4"/>
  <c r="D67" i="4"/>
  <c r="H66" i="4"/>
  <c r="I66" i="4" s="1"/>
  <c r="B7" i="3" s="1"/>
  <c r="G66" i="4"/>
  <c r="E66" i="4"/>
  <c r="D66" i="4"/>
  <c r="H65" i="4"/>
  <c r="G65" i="4"/>
  <c r="I65" i="4" s="1"/>
  <c r="E65" i="4"/>
  <c r="D65" i="4"/>
  <c r="I64" i="4"/>
  <c r="H64" i="4"/>
  <c r="G64" i="4"/>
  <c r="E64" i="4"/>
  <c r="D64" i="4"/>
  <c r="H63" i="4"/>
  <c r="I63" i="4" s="1"/>
  <c r="G63" i="4"/>
  <c r="E63" i="4"/>
  <c r="D63" i="4"/>
  <c r="H62" i="4"/>
  <c r="G62" i="4"/>
  <c r="I62" i="4" s="1"/>
  <c r="E62" i="4"/>
  <c r="D62" i="4"/>
  <c r="I61" i="4"/>
  <c r="H61" i="4"/>
  <c r="G61" i="4"/>
  <c r="E61" i="4"/>
  <c r="D61" i="4"/>
  <c r="H60" i="4"/>
  <c r="I60" i="4" s="1"/>
  <c r="G60" i="4"/>
  <c r="E60" i="4"/>
  <c r="D60" i="4"/>
  <c r="H59" i="4"/>
  <c r="G59" i="4"/>
  <c r="E59" i="4"/>
  <c r="D59" i="4"/>
  <c r="I58" i="4"/>
  <c r="H58" i="4"/>
  <c r="G58" i="4"/>
  <c r="E58" i="4"/>
  <c r="D58" i="4"/>
  <c r="H57" i="4"/>
  <c r="I57" i="4" s="1"/>
  <c r="G57" i="4"/>
  <c r="E57" i="4"/>
  <c r="D57" i="4"/>
  <c r="H56" i="4"/>
  <c r="G56" i="4"/>
  <c r="I56" i="4" s="1"/>
  <c r="E56" i="4"/>
  <c r="D56" i="4"/>
  <c r="I55" i="4"/>
  <c r="H55" i="4"/>
  <c r="G55" i="4"/>
  <c r="E55" i="4"/>
  <c r="D55" i="4"/>
  <c r="I54" i="4"/>
  <c r="H54" i="4"/>
  <c r="G54" i="4"/>
  <c r="E54" i="4"/>
  <c r="D54" i="4"/>
  <c r="H53" i="4"/>
  <c r="G53" i="4"/>
  <c r="I53" i="4" s="1"/>
  <c r="E53" i="4"/>
  <c r="D53" i="4"/>
  <c r="H52" i="4"/>
  <c r="G52" i="4"/>
  <c r="I52" i="4" s="1"/>
  <c r="E6" i="3" s="1"/>
  <c r="E52" i="4"/>
  <c r="D52" i="4"/>
  <c r="H51" i="4"/>
  <c r="I51" i="4" s="1"/>
  <c r="G51" i="4"/>
  <c r="E51" i="4"/>
  <c r="D51" i="4"/>
  <c r="H50" i="4"/>
  <c r="G50" i="4"/>
  <c r="I50" i="4" s="1"/>
  <c r="E50" i="4"/>
  <c r="D50" i="4"/>
  <c r="H49" i="4"/>
  <c r="I49" i="4" s="1"/>
  <c r="D6" i="3" s="1"/>
  <c r="G49" i="4"/>
  <c r="E49" i="4"/>
  <c r="D49" i="4"/>
  <c r="H48" i="4"/>
  <c r="I48" i="4" s="1"/>
  <c r="G48" i="4"/>
  <c r="E48" i="4"/>
  <c r="D48" i="4"/>
  <c r="H47" i="4"/>
  <c r="G47" i="4"/>
  <c r="E47" i="4"/>
  <c r="D47" i="4"/>
  <c r="I46" i="4"/>
  <c r="H46" i="4"/>
  <c r="G46" i="4"/>
  <c r="E46" i="4"/>
  <c r="D46" i="4"/>
  <c r="H45" i="4"/>
  <c r="I45" i="4" s="1"/>
  <c r="G45" i="4"/>
  <c r="E45" i="4"/>
  <c r="D45" i="4"/>
  <c r="H44" i="4"/>
  <c r="G44" i="4"/>
  <c r="I44" i="4" s="1"/>
  <c r="E44" i="4"/>
  <c r="D44" i="4"/>
  <c r="I43" i="4"/>
  <c r="H43" i="4"/>
  <c r="G43" i="4"/>
  <c r="E43" i="4"/>
  <c r="D43" i="4"/>
  <c r="H42" i="4"/>
  <c r="I42" i="4" s="1"/>
  <c r="G42" i="4"/>
  <c r="E42" i="4"/>
  <c r="D42" i="4"/>
  <c r="H41" i="4"/>
  <c r="G41" i="4"/>
  <c r="I41" i="4" s="1"/>
  <c r="E41" i="4"/>
  <c r="D41" i="4"/>
  <c r="I40" i="4"/>
  <c r="H40" i="4"/>
  <c r="G40" i="4"/>
  <c r="E40" i="4"/>
  <c r="D40" i="4"/>
  <c r="H39" i="4"/>
  <c r="I39" i="4" s="1"/>
  <c r="G39" i="4"/>
  <c r="E39" i="4"/>
  <c r="D39" i="4"/>
  <c r="H38" i="4"/>
  <c r="G38" i="4"/>
  <c r="I38" i="4" s="1"/>
  <c r="E38" i="4"/>
  <c r="D38" i="4"/>
  <c r="I37" i="4"/>
  <c r="H37" i="4"/>
  <c r="G37" i="4"/>
  <c r="E37" i="4"/>
  <c r="D37" i="4"/>
  <c r="H36" i="4"/>
  <c r="I36" i="4" s="1"/>
  <c r="G36" i="4"/>
  <c r="E36" i="4"/>
  <c r="D36" i="4"/>
  <c r="H35" i="4"/>
  <c r="G35" i="4"/>
  <c r="E35" i="4"/>
  <c r="D35" i="4"/>
  <c r="I34" i="4"/>
  <c r="H34" i="4"/>
  <c r="G34" i="4"/>
  <c r="E34" i="4"/>
  <c r="D34" i="4"/>
  <c r="H33" i="4"/>
  <c r="I33" i="4" s="1"/>
  <c r="G33" i="4"/>
  <c r="E33" i="4"/>
  <c r="D33" i="4"/>
  <c r="H32" i="4"/>
  <c r="G32" i="4"/>
  <c r="I32" i="4" s="1"/>
  <c r="E32" i="4"/>
  <c r="D32" i="4"/>
  <c r="I31" i="4"/>
  <c r="F5" i="3" s="1"/>
  <c r="H31" i="4"/>
  <c r="G31" i="4"/>
  <c r="E31" i="4"/>
  <c r="D31" i="4"/>
  <c r="I30" i="4"/>
  <c r="H30" i="4"/>
  <c r="G30" i="4"/>
  <c r="E30" i="4"/>
  <c r="D30" i="4"/>
  <c r="H29" i="4"/>
  <c r="G29" i="4"/>
  <c r="I29" i="4" s="1"/>
  <c r="D5" i="3" s="1"/>
  <c r="E29" i="4"/>
  <c r="D29" i="4"/>
  <c r="H28" i="4"/>
  <c r="G28" i="4"/>
  <c r="I28" i="4" s="1"/>
  <c r="E28" i="4"/>
  <c r="D28" i="4"/>
  <c r="H27" i="4"/>
  <c r="I27" i="4" s="1"/>
  <c r="G27" i="4"/>
  <c r="E27" i="4"/>
  <c r="D27" i="4"/>
  <c r="H26" i="4"/>
  <c r="G26" i="4"/>
  <c r="I26" i="4" s="1"/>
  <c r="C5" i="3" s="1"/>
  <c r="E26" i="4"/>
  <c r="D26" i="4"/>
  <c r="H25" i="4"/>
  <c r="I25" i="4" s="1"/>
  <c r="G25" i="4"/>
  <c r="E25" i="4"/>
  <c r="D25" i="4"/>
  <c r="H24" i="4"/>
  <c r="I24" i="4" s="1"/>
  <c r="G24" i="4"/>
  <c r="E24" i="4"/>
  <c r="D24" i="4"/>
  <c r="H23" i="4"/>
  <c r="G23" i="4"/>
  <c r="E23" i="4"/>
  <c r="D23" i="4"/>
  <c r="I22" i="4"/>
  <c r="H22" i="4"/>
  <c r="G22" i="4"/>
  <c r="E22" i="4"/>
  <c r="D22" i="4"/>
  <c r="H21" i="4"/>
  <c r="I21" i="4" s="1"/>
  <c r="G21" i="4"/>
  <c r="E21" i="4"/>
  <c r="D21" i="4"/>
  <c r="H20" i="4"/>
  <c r="G20" i="4"/>
  <c r="I20" i="4" s="1"/>
  <c r="K4" i="3" s="1"/>
  <c r="E20" i="4"/>
  <c r="D20" i="4"/>
  <c r="I19" i="4"/>
  <c r="H19" i="4"/>
  <c r="G19" i="4"/>
  <c r="E19" i="4"/>
  <c r="D19" i="4"/>
  <c r="H18" i="4"/>
  <c r="I18" i="4" s="1"/>
  <c r="I4" i="3" s="1"/>
  <c r="G18" i="4"/>
  <c r="E18" i="4"/>
  <c r="D18" i="4"/>
  <c r="H17" i="4"/>
  <c r="G17" i="4"/>
  <c r="I17" i="4" s="1"/>
  <c r="E17" i="4"/>
  <c r="D17" i="4"/>
  <c r="I16" i="4"/>
  <c r="H16" i="4"/>
  <c r="G16" i="4"/>
  <c r="E16" i="4"/>
  <c r="D16" i="4"/>
  <c r="H15" i="4"/>
  <c r="G15" i="4"/>
  <c r="E15" i="4"/>
  <c r="D15" i="4"/>
  <c r="H14" i="4"/>
  <c r="G14" i="4"/>
  <c r="I14" i="4" s="1"/>
  <c r="E14" i="4"/>
  <c r="D14" i="4"/>
  <c r="I13" i="4"/>
  <c r="H13" i="4"/>
  <c r="G13" i="4"/>
  <c r="E13" i="4"/>
  <c r="D13" i="4"/>
  <c r="H12" i="4"/>
  <c r="I12" i="4" s="1"/>
  <c r="G12" i="4"/>
  <c r="E12" i="4"/>
  <c r="D12" i="4"/>
  <c r="H11" i="4"/>
  <c r="G11" i="4"/>
  <c r="E11" i="4"/>
  <c r="D11" i="4"/>
  <c r="I10" i="4"/>
  <c r="H10" i="4"/>
  <c r="G10" i="4"/>
  <c r="E10" i="4"/>
  <c r="D10" i="4"/>
  <c r="H9" i="4"/>
  <c r="I9" i="4" s="1"/>
  <c r="G9" i="4"/>
  <c r="E9" i="4"/>
  <c r="D9" i="4"/>
  <c r="H8" i="4"/>
  <c r="G8" i="4"/>
  <c r="I8" i="4" s="1"/>
  <c r="C4" i="3" s="1"/>
  <c r="E8" i="4"/>
  <c r="D8" i="4"/>
  <c r="I7" i="4"/>
  <c r="H7" i="4"/>
  <c r="G7" i="4"/>
  <c r="E7" i="4"/>
  <c r="D7" i="4"/>
  <c r="I6" i="4"/>
  <c r="H6" i="4"/>
  <c r="G6" i="4"/>
  <c r="E6" i="4"/>
  <c r="D6" i="4"/>
  <c r="H5" i="4"/>
  <c r="G5" i="4"/>
  <c r="I5" i="4" s="1"/>
  <c r="E5" i="4"/>
  <c r="D5" i="4"/>
  <c r="H4" i="4"/>
  <c r="G4" i="4"/>
  <c r="I4" i="4" s="1"/>
  <c r="E4" i="4"/>
  <c r="D4" i="4"/>
  <c r="M39" i="3"/>
  <c r="L39" i="3"/>
  <c r="K39" i="3"/>
  <c r="J39" i="3"/>
  <c r="G39" i="3"/>
  <c r="E39" i="3"/>
  <c r="D39" i="2" s="1"/>
  <c r="D39" i="3"/>
  <c r="C39" i="3"/>
  <c r="M38" i="3"/>
  <c r="L38" i="3"/>
  <c r="J38" i="3"/>
  <c r="H38" i="3"/>
  <c r="F38" i="3"/>
  <c r="E38" i="3"/>
  <c r="D38" i="3"/>
  <c r="B38" i="3"/>
  <c r="M37" i="3"/>
  <c r="L37" i="3"/>
  <c r="J37" i="3"/>
  <c r="G37" i="3"/>
  <c r="E37" i="3"/>
  <c r="C37" i="3"/>
  <c r="N37" i="3" s="1"/>
  <c r="C37" i="2" s="1"/>
  <c r="B37" i="1" s="1"/>
  <c r="B37" i="3"/>
  <c r="M36" i="3"/>
  <c r="L36" i="3"/>
  <c r="J36" i="3"/>
  <c r="H36" i="3"/>
  <c r="G36" i="3"/>
  <c r="F36" i="3"/>
  <c r="D36" i="3"/>
  <c r="C36" i="3"/>
  <c r="B36" i="3"/>
  <c r="M35" i="3"/>
  <c r="L35" i="3"/>
  <c r="K35" i="3"/>
  <c r="J35" i="3"/>
  <c r="H35" i="3"/>
  <c r="G35" i="3"/>
  <c r="E35" i="3"/>
  <c r="C35" i="3"/>
  <c r="M34" i="3"/>
  <c r="L34" i="3"/>
  <c r="J34" i="3"/>
  <c r="I34" i="3"/>
  <c r="H34" i="3"/>
  <c r="F34" i="3"/>
  <c r="E34" i="3"/>
  <c r="C34" i="3"/>
  <c r="J33" i="3"/>
  <c r="I33" i="3"/>
  <c r="F33" i="3"/>
  <c r="E33" i="3"/>
  <c r="D33" i="3"/>
  <c r="L32" i="3"/>
  <c r="J32" i="3"/>
  <c r="G32" i="3"/>
  <c r="E32" i="3"/>
  <c r="C32" i="3"/>
  <c r="M31" i="3"/>
  <c r="L31" i="3"/>
  <c r="K31" i="3"/>
  <c r="J31" i="3"/>
  <c r="I31" i="3"/>
  <c r="H31" i="3"/>
  <c r="G31" i="3"/>
  <c r="D31" i="3"/>
  <c r="C31" i="3"/>
  <c r="M30" i="3"/>
  <c r="L30" i="3"/>
  <c r="J30" i="3"/>
  <c r="I30" i="3"/>
  <c r="H30" i="3"/>
  <c r="G30" i="3"/>
  <c r="E30" i="3"/>
  <c r="M29" i="3"/>
  <c r="L29" i="3"/>
  <c r="J29" i="3"/>
  <c r="H29" i="3"/>
  <c r="G29" i="3"/>
  <c r="F29" i="3"/>
  <c r="E29" i="3"/>
  <c r="C29" i="3"/>
  <c r="M28" i="3"/>
  <c r="L28" i="3"/>
  <c r="K28" i="3"/>
  <c r="J28" i="3"/>
  <c r="G28" i="3"/>
  <c r="F28" i="3"/>
  <c r="D28" i="3"/>
  <c r="B28" i="3"/>
  <c r="M27" i="3"/>
  <c r="L27" i="3"/>
  <c r="K27" i="3"/>
  <c r="J27" i="3"/>
  <c r="H27" i="3"/>
  <c r="G27" i="3"/>
  <c r="E27" i="3"/>
  <c r="M26" i="3"/>
  <c r="L26" i="3"/>
  <c r="K26" i="3"/>
  <c r="J26" i="3"/>
  <c r="I26" i="3"/>
  <c r="G26" i="3"/>
  <c r="F26" i="3"/>
  <c r="E26" i="3"/>
  <c r="D26" i="3"/>
  <c r="C26" i="3"/>
  <c r="M25" i="3"/>
  <c r="L25" i="3"/>
  <c r="K25" i="3"/>
  <c r="J25" i="3"/>
  <c r="G25" i="3"/>
  <c r="E25" i="3"/>
  <c r="D25" i="3"/>
  <c r="M24" i="3"/>
  <c r="L24" i="3"/>
  <c r="J24" i="3"/>
  <c r="H24" i="3"/>
  <c r="G24" i="3"/>
  <c r="F24" i="3"/>
  <c r="D24" i="3"/>
  <c r="C24" i="3"/>
  <c r="M23" i="3"/>
  <c r="L23" i="3"/>
  <c r="K23" i="3"/>
  <c r="J23" i="3"/>
  <c r="I23" i="3"/>
  <c r="H23" i="3"/>
  <c r="G23" i="3"/>
  <c r="F23" i="3"/>
  <c r="E23" i="3"/>
  <c r="C23" i="3"/>
  <c r="B23" i="3"/>
  <c r="M22" i="3"/>
  <c r="L22" i="3"/>
  <c r="J22" i="3"/>
  <c r="H22" i="3"/>
  <c r="G22" i="3"/>
  <c r="D22" i="3"/>
  <c r="M21" i="3"/>
  <c r="I21" i="3"/>
  <c r="H21" i="3"/>
  <c r="G21" i="3"/>
  <c r="F21" i="3"/>
  <c r="D21" i="3"/>
  <c r="B21" i="3"/>
  <c r="L20" i="3"/>
  <c r="K20" i="3"/>
  <c r="J20" i="3"/>
  <c r="H20" i="3"/>
  <c r="G20" i="3"/>
  <c r="E20" i="3"/>
  <c r="D20" i="3"/>
  <c r="M19" i="3"/>
  <c r="L19" i="3"/>
  <c r="K19" i="3"/>
  <c r="J19" i="3"/>
  <c r="H19" i="3"/>
  <c r="G19" i="3"/>
  <c r="F19" i="3"/>
  <c r="E19" i="3"/>
  <c r="D19" i="3"/>
  <c r="M18" i="3"/>
  <c r="L18" i="3"/>
  <c r="J18" i="3"/>
  <c r="H18" i="3"/>
  <c r="G18" i="3"/>
  <c r="E18" i="3"/>
  <c r="M17" i="3"/>
  <c r="L17" i="3"/>
  <c r="K17" i="3"/>
  <c r="J17" i="3"/>
  <c r="I17" i="3"/>
  <c r="H17" i="3"/>
  <c r="G17" i="3"/>
  <c r="E17" i="3"/>
  <c r="D17" i="3"/>
  <c r="C17" i="3"/>
  <c r="B17" i="3"/>
  <c r="D17" i="2" s="1"/>
  <c r="M16" i="3"/>
  <c r="L16" i="3"/>
  <c r="J16" i="3"/>
  <c r="I16" i="3"/>
  <c r="H16" i="3"/>
  <c r="G16" i="3"/>
  <c r="F16" i="3"/>
  <c r="E16" i="3"/>
  <c r="D16" i="3"/>
  <c r="B16" i="3"/>
  <c r="M15" i="3"/>
  <c r="L15" i="3"/>
  <c r="J15" i="3"/>
  <c r="H15" i="3"/>
  <c r="G15" i="3"/>
  <c r="E15" i="3"/>
  <c r="D15" i="3"/>
  <c r="M14" i="3"/>
  <c r="L14" i="3"/>
  <c r="K14" i="3"/>
  <c r="J14" i="3"/>
  <c r="I14" i="3"/>
  <c r="G14" i="3"/>
  <c r="E14" i="3"/>
  <c r="D14" i="3"/>
  <c r="C14" i="3"/>
  <c r="M13" i="3"/>
  <c r="L13" i="3"/>
  <c r="K13" i="3"/>
  <c r="J13" i="3"/>
  <c r="I13" i="3"/>
  <c r="H13" i="3"/>
  <c r="G13" i="3"/>
  <c r="F13" i="3"/>
  <c r="D13" i="3"/>
  <c r="C13" i="3"/>
  <c r="M12" i="3"/>
  <c r="L12" i="3"/>
  <c r="K12" i="3"/>
  <c r="J12" i="3"/>
  <c r="G12" i="3"/>
  <c r="F12" i="3"/>
  <c r="D12" i="3"/>
  <c r="C12" i="3"/>
  <c r="M11" i="3"/>
  <c r="L11" i="3"/>
  <c r="J11" i="3"/>
  <c r="I11" i="3"/>
  <c r="H11" i="3"/>
  <c r="G11" i="3"/>
  <c r="F11" i="3"/>
  <c r="M10" i="3"/>
  <c r="L10" i="3"/>
  <c r="J10" i="3"/>
  <c r="H10" i="3"/>
  <c r="G10" i="3"/>
  <c r="F10" i="3"/>
  <c r="D10" i="3"/>
  <c r="B10" i="3"/>
  <c r="M9" i="3"/>
  <c r="L9" i="3"/>
  <c r="J9" i="3"/>
  <c r="I9" i="3"/>
  <c r="H9" i="3"/>
  <c r="F9" i="3"/>
  <c r="E9" i="3"/>
  <c r="D9" i="3"/>
  <c r="C9" i="3"/>
  <c r="M8" i="3"/>
  <c r="L8" i="3"/>
  <c r="J8" i="3"/>
  <c r="I8" i="3"/>
  <c r="G8" i="3"/>
  <c r="B8" i="3"/>
  <c r="M7" i="3"/>
  <c r="L7" i="3"/>
  <c r="J7" i="3"/>
  <c r="H7" i="3"/>
  <c r="G7" i="3"/>
  <c r="E7" i="3"/>
  <c r="C7" i="3"/>
  <c r="M6" i="3"/>
  <c r="L6" i="3"/>
  <c r="K6" i="3"/>
  <c r="J6" i="3"/>
  <c r="H6" i="3"/>
  <c r="G6" i="3"/>
  <c r="M5" i="3"/>
  <c r="L5" i="3"/>
  <c r="K5" i="3"/>
  <c r="J5" i="3"/>
  <c r="H5" i="3"/>
  <c r="G5" i="3"/>
  <c r="E5" i="3"/>
  <c r="M4" i="3"/>
  <c r="L4" i="3"/>
  <c r="J4" i="3"/>
  <c r="H4" i="3"/>
  <c r="G4" i="3"/>
  <c r="E4" i="3"/>
  <c r="G39" i="2"/>
  <c r="F39" i="2"/>
  <c r="E39" i="2"/>
  <c r="F38" i="2"/>
  <c r="E38" i="2"/>
  <c r="G37" i="2"/>
  <c r="F37" i="2"/>
  <c r="E37" i="2"/>
  <c r="G36" i="2"/>
  <c r="F36" i="2"/>
  <c r="E36" i="2"/>
  <c r="F35" i="2"/>
  <c r="E35" i="2"/>
  <c r="F34" i="2"/>
  <c r="E34" i="2"/>
  <c r="F33" i="2"/>
  <c r="E33" i="2"/>
  <c r="F32" i="2"/>
  <c r="F31" i="2"/>
  <c r="E31" i="2"/>
  <c r="F30" i="2"/>
  <c r="E30" i="2"/>
  <c r="F29" i="2"/>
  <c r="E29" i="2"/>
  <c r="G28" i="2"/>
  <c r="F28" i="2"/>
  <c r="E28" i="2"/>
  <c r="F27" i="2"/>
  <c r="E27" i="2"/>
  <c r="F26" i="2"/>
  <c r="E26" i="2"/>
  <c r="F25" i="2"/>
  <c r="E25" i="2"/>
  <c r="F24" i="2"/>
  <c r="E24" i="2"/>
  <c r="G23" i="2"/>
  <c r="F23" i="2"/>
  <c r="E23" i="2"/>
  <c r="F22" i="2"/>
  <c r="E22" i="2"/>
  <c r="G21" i="2"/>
  <c r="F21" i="2"/>
  <c r="E21" i="2"/>
  <c r="F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F12" i="2"/>
  <c r="E12" i="2"/>
  <c r="F11" i="2"/>
  <c r="E11" i="2"/>
  <c r="G10" i="2"/>
  <c r="F10" i="2"/>
  <c r="E10" i="2"/>
  <c r="F9" i="2"/>
  <c r="E9" i="2"/>
  <c r="G8" i="2"/>
  <c r="F8" i="2"/>
  <c r="F7" i="2"/>
  <c r="E7" i="2"/>
  <c r="F6" i="2"/>
  <c r="E6" i="2"/>
  <c r="F5" i="2"/>
  <c r="E5" i="2"/>
  <c r="F4" i="2"/>
  <c r="E4" i="2"/>
  <c r="F18" i="3" l="1"/>
  <c r="N15" i="3"/>
  <c r="C15" i="2" s="1"/>
  <c r="B15" i="1" s="1"/>
  <c r="G15" i="2"/>
  <c r="H15" i="2" s="1"/>
  <c r="D15" i="2"/>
  <c r="M20" i="3"/>
  <c r="L17" i="6"/>
  <c r="B6" i="3"/>
  <c r="G12" i="2"/>
  <c r="G13" i="2"/>
  <c r="G11" i="2"/>
  <c r="G24" i="2"/>
  <c r="N24" i="3"/>
  <c r="C24" i="2" s="1"/>
  <c r="B24" i="1" s="1"/>
  <c r="N25" i="3"/>
  <c r="C25" i="2" s="1"/>
  <c r="B25" i="1" s="1"/>
  <c r="G25" i="2"/>
  <c r="D25" i="2"/>
  <c r="D35" i="2"/>
  <c r="N35" i="3"/>
  <c r="C35" i="2" s="1"/>
  <c r="B35" i="1" s="1"/>
  <c r="G35" i="2"/>
  <c r="H35" i="2" s="1"/>
  <c r="G19" i="2"/>
  <c r="G32" i="2"/>
  <c r="G22" i="2"/>
  <c r="H37" i="2"/>
  <c r="G20" i="2"/>
  <c r="N10" i="3"/>
  <c r="C10" i="2" s="1"/>
  <c r="B10" i="1" s="1"/>
  <c r="L7" i="6"/>
  <c r="B4" i="3"/>
  <c r="G7" i="2"/>
  <c r="G27" i="2"/>
  <c r="N29" i="3"/>
  <c r="C29" i="2" s="1"/>
  <c r="B29" i="1" s="1"/>
  <c r="G29" i="2"/>
  <c r="H29" i="2" s="1"/>
  <c r="D29" i="2"/>
  <c r="G30" i="2"/>
  <c r="L12" i="6"/>
  <c r="G18" i="2"/>
  <c r="H39" i="2"/>
  <c r="F6" i="3"/>
  <c r="N38" i="3"/>
  <c r="C38" i="2" s="1"/>
  <c r="B38" i="1" s="1"/>
  <c r="N39" i="3"/>
  <c r="C39" i="2" s="1"/>
  <c r="B39" i="1" s="1"/>
  <c r="G17" i="2"/>
  <c r="I15" i="4"/>
  <c r="F4" i="3" s="1"/>
  <c r="I198" i="4"/>
  <c r="E13" i="3" s="1"/>
  <c r="D13" i="2" s="1"/>
  <c r="I23" i="4"/>
  <c r="B5" i="3" s="1"/>
  <c r="I47" i="4"/>
  <c r="C6" i="3" s="1"/>
  <c r="I71" i="4"/>
  <c r="D7" i="3" s="1"/>
  <c r="I95" i="4"/>
  <c r="D8" i="3" s="1"/>
  <c r="D8" i="2" s="1"/>
  <c r="I114" i="4"/>
  <c r="B9" i="3" s="1"/>
  <c r="I258" i="4"/>
  <c r="K16" i="3" s="1"/>
  <c r="I402" i="4"/>
  <c r="D23" i="3" s="1"/>
  <c r="D23" i="2" s="1"/>
  <c r="I546" i="4"/>
  <c r="B31" i="3" s="1"/>
  <c r="I150" i="4"/>
  <c r="I10" i="3" s="1"/>
  <c r="D10" i="2" s="1"/>
  <c r="I294" i="4"/>
  <c r="F30" i="3"/>
  <c r="N30" i="3" s="1"/>
  <c r="C30" i="2" s="1"/>
  <c r="B30" i="1" s="1"/>
  <c r="N17" i="3"/>
  <c r="C17" i="2" s="1"/>
  <c r="B17" i="1" s="1"/>
  <c r="L6" i="6"/>
  <c r="I210" i="4"/>
  <c r="B14" i="3" s="1"/>
  <c r="I354" i="4"/>
  <c r="C21" i="3" s="1"/>
  <c r="I24" i="3"/>
  <c r="D24" i="2" s="1"/>
  <c r="I498" i="4"/>
  <c r="I28" i="3" s="1"/>
  <c r="N28" i="3" s="1"/>
  <c r="C28" i="2" s="1"/>
  <c r="D18" i="3"/>
  <c r="N18" i="3" s="1"/>
  <c r="C18" i="2" s="1"/>
  <c r="B18" i="1" s="1"/>
  <c r="F27" i="3"/>
  <c r="I36" i="3"/>
  <c r="I38" i="3"/>
  <c r="D38" i="2" s="1"/>
  <c r="G16" i="2"/>
  <c r="G38" i="2"/>
  <c r="I11" i="4"/>
  <c r="D4" i="3" s="1"/>
  <c r="I35" i="4"/>
  <c r="I5" i="3" s="1"/>
  <c r="I59" i="4"/>
  <c r="I6" i="3" s="1"/>
  <c r="I83" i="4"/>
  <c r="K7" i="3" s="1"/>
  <c r="D7" i="2" s="1"/>
  <c r="I107" i="4"/>
  <c r="K8" i="3" s="1"/>
  <c r="I186" i="4"/>
  <c r="I12" i="3" s="1"/>
  <c r="D12" i="2" s="1"/>
  <c r="I330" i="4"/>
  <c r="C20" i="3" s="1"/>
  <c r="K22" i="3"/>
  <c r="N22" i="3" s="1"/>
  <c r="C22" i="2" s="1"/>
  <c r="B22" i="1" s="1"/>
  <c r="I474" i="4"/>
  <c r="D27" i="3" s="1"/>
  <c r="D27" i="2" s="1"/>
  <c r="I32" i="3"/>
  <c r="N32" i="3" s="1"/>
  <c r="C32" i="2" s="1"/>
  <c r="B32" i="1" s="1"/>
  <c r="I618" i="4"/>
  <c r="B34" i="3" s="1"/>
  <c r="D16" i="2"/>
  <c r="L8" i="6"/>
  <c r="L11" i="6"/>
  <c r="L14" i="6"/>
  <c r="I246" i="4"/>
  <c r="C16" i="3" s="1"/>
  <c r="N16" i="3" s="1"/>
  <c r="C16" i="2" s="1"/>
  <c r="B16" i="1" s="1"/>
  <c r="C33" i="3"/>
  <c r="L9" i="6"/>
  <c r="L13" i="6"/>
  <c r="I162" i="4"/>
  <c r="D11" i="3" s="1"/>
  <c r="N11" i="3" s="1"/>
  <c r="C11" i="2" s="1"/>
  <c r="B11" i="1" s="1"/>
  <c r="I306" i="4"/>
  <c r="C19" i="3" s="1"/>
  <c r="D19" i="2" s="1"/>
  <c r="I450" i="4"/>
  <c r="B26" i="3" s="1"/>
  <c r="I594" i="4"/>
  <c r="B33" i="3" s="1"/>
  <c r="B28" i="1" l="1"/>
  <c r="H28" i="2"/>
  <c r="N31" i="3"/>
  <c r="C31" i="2" s="1"/>
  <c r="B31" i="1" s="1"/>
  <c r="D31" i="2"/>
  <c r="G31" i="2"/>
  <c r="D20" i="2"/>
  <c r="N20" i="3"/>
  <c r="C20" i="2" s="1"/>
  <c r="B20" i="1" s="1"/>
  <c r="N9" i="3"/>
  <c r="C9" i="2" s="1"/>
  <c r="B9" i="1" s="1"/>
  <c r="G9" i="2"/>
  <c r="D9" i="2"/>
  <c r="H27" i="2"/>
  <c r="H20" i="2"/>
  <c r="H24" i="2"/>
  <c r="D6" i="2"/>
  <c r="G6" i="2"/>
  <c r="H6" i="2" s="1"/>
  <c r="N6" i="3"/>
  <c r="C6" i="2" s="1"/>
  <c r="B6" i="1" s="1"/>
  <c r="N27" i="3"/>
  <c r="C27" i="2" s="1"/>
  <c r="B27" i="1" s="1"/>
  <c r="N19" i="3"/>
  <c r="C19" i="2" s="1"/>
  <c r="B19" i="1" s="1"/>
  <c r="H11" i="2"/>
  <c r="N23" i="3"/>
  <c r="C23" i="2" s="1"/>
  <c r="D21" i="2"/>
  <c r="N21" i="3"/>
  <c r="C21" i="2" s="1"/>
  <c r="D18" i="2"/>
  <c r="D11" i="2"/>
  <c r="N8" i="3"/>
  <c r="C8" i="2" s="1"/>
  <c r="G14" i="2"/>
  <c r="H14" i="2" s="1"/>
  <c r="N14" i="3"/>
  <c r="C14" i="2" s="1"/>
  <c r="B14" i="1" s="1"/>
  <c r="D14" i="2"/>
  <c r="H7" i="2"/>
  <c r="D28" i="2"/>
  <c r="N5" i="3"/>
  <c r="C5" i="2" s="1"/>
  <c r="B5" i="1" s="1"/>
  <c r="G5" i="2"/>
  <c r="H5" i="2" s="1"/>
  <c r="D5" i="2"/>
  <c r="L10" i="6"/>
  <c r="H38" i="2"/>
  <c r="D30" i="2"/>
  <c r="D22" i="2"/>
  <c r="H18" i="2"/>
  <c r="N7" i="3"/>
  <c r="C7" i="2" s="1"/>
  <c r="B7" i="1" s="1"/>
  <c r="H22" i="2"/>
  <c r="N13" i="3"/>
  <c r="C13" i="2" s="1"/>
  <c r="B13" i="1" s="1"/>
  <c r="G26" i="2"/>
  <c r="N26" i="3"/>
  <c r="C26" i="2" s="1"/>
  <c r="B26" i="1" s="1"/>
  <c r="D26" i="2"/>
  <c r="N34" i="3"/>
  <c r="C34" i="2" s="1"/>
  <c r="B34" i="1" s="1"/>
  <c r="G34" i="2"/>
  <c r="H34" i="2" s="1"/>
  <c r="D34" i="2"/>
  <c r="H16" i="2"/>
  <c r="H17" i="2"/>
  <c r="H30" i="2"/>
  <c r="H10" i="2"/>
  <c r="N33" i="3"/>
  <c r="C33" i="2" s="1"/>
  <c r="B33" i="1" s="1"/>
  <c r="G33" i="2"/>
  <c r="H33" i="2" s="1"/>
  <c r="D33" i="2"/>
  <c r="G4" i="2"/>
  <c r="D4" i="2"/>
  <c r="N4" i="3"/>
  <c r="C4" i="2" s="1"/>
  <c r="B4" i="1" s="1"/>
  <c r="D32" i="2"/>
  <c r="H25" i="2"/>
  <c r="N12" i="3"/>
  <c r="C12" i="2" s="1"/>
  <c r="B12" i="1" s="1"/>
  <c r="N36" i="3"/>
  <c r="C36" i="2" s="1"/>
  <c r="D36" i="2"/>
  <c r="H32" i="2"/>
  <c r="H12" i="2"/>
  <c r="H9" i="2" l="1"/>
  <c r="B23" i="1"/>
  <c r="H23" i="2"/>
  <c r="H26" i="2"/>
  <c r="H31" i="2"/>
  <c r="B21" i="1"/>
  <c r="H21" i="2"/>
  <c r="B36" i="1"/>
  <c r="H36" i="2"/>
  <c r="H13" i="2"/>
  <c r="B8" i="1"/>
  <c r="H8" i="2"/>
  <c r="H4" i="2"/>
  <c r="H19" i="2"/>
</calcChain>
</file>

<file path=xl/sharedStrings.xml><?xml version="1.0" encoding="utf-8"?>
<sst xmlns="http://schemas.openxmlformats.org/spreadsheetml/2006/main" count="1832" uniqueCount="216">
  <si>
    <t>ContaFacil - Ingresos mensuales por honorarios (datos FICTICIOS para pruebas)</t>
  </si>
  <si>
    <t>Periodo</t>
  </si>
  <si>
    <t>Ingresos (₡)</t>
  </si>
  <si>
    <t>Nota:</t>
  </si>
  <si>
    <t>Esta es la hoja que se importa/pega en la herramienta (A = periodo, B = valor). Montos sin IVA.</t>
  </si>
  <si>
    <t>Los ingresos salen de la facturación detallada (horas x tarifa del catálogo CCPA). Ver hoja Supuestos_Fuentes.</t>
  </si>
  <si>
    <t>Resumen mensual: ingresos, clientes activos, declaraciones y horas facturadas</t>
  </si>
  <si>
    <t>Año</t>
  </si>
  <si>
    <t>Mes</t>
  </si>
  <si>
    <t>Ingresos totales (₡)</t>
  </si>
  <si>
    <t>Clientes activos</t>
  </si>
  <si>
    <t>Declaraciones presentadas</t>
  </si>
  <si>
    <t>Horas facturadas</t>
  </si>
  <si>
    <t>Ingreso Cliente C01 (₡)</t>
  </si>
  <si>
    <t>% C01 sobre total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</si>
  <si>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</si>
  <si>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</si>
  <si>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</si>
  <si>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</si>
  <si>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</si>
  <si>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</si>
  <si>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</si>
  <si>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</si>
  <si>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</si>
  <si>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</si>
  <si>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</si>
  <si>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</si>
  <si>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Ingresos por cliente y mes (₡, sin IVA) - calculados desde la hoja Facturacion</t>
  </si>
  <si>
    <t>Cód.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</si>
  <si>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</si>
  <si>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</si>
  <si>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</si>
  <si>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</si>
  <si>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</si>
  <si>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</si>
  <si>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</si>
  <si>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</si>
  <si>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</si>
  <si>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</si>
  <si>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</si>
  <si>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</si>
  <si>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Distribuidora Los Andes S.A.</t>
  </si>
  <si>
    <t>Ferretería El Tornillo</t>
  </si>
  <si>
    <t>Clínica Dental Sonrisa</t>
  </si>
  <si>
    <t>Soda y Restaurante Doña Lela</t>
  </si>
  <si>
    <t>Transportes Rápidos del Valle</t>
  </si>
  <si>
    <t>Boutique Luna Nueva</t>
  </si>
  <si>
    <t>Taller Mecánico Hermanos Mora</t>
  </si>
  <si>
    <t>Agroservicios Cartago</t>
  </si>
  <si>
    <t>Estudio Fotográfico Lumière</t>
  </si>
  <si>
    <t>Panadería La Espiga</t>
  </si>
  <si>
    <t>Consultores TIC Pura Vida</t>
  </si>
  <si>
    <t>Veterinaria Mascotas Felices</t>
  </si>
  <si>
    <t>TOTAL</t>
  </si>
  <si>
    <t>Facturación detallada: una línea por cliente, servicio y mes</t>
  </si>
  <si>
    <t>Monto = horas x tarifa horaria (Parametros) x factor del cliente (Clientes). Las horas son el dato simulado; lo demás son fórmulas.</t>
  </si>
  <si>
    <t>Cód. cliente</t>
  </si>
  <si>
    <t>Cód. servicio</t>
  </si>
  <si>
    <t>Cliente</t>
  </si>
  <si>
    <t>Servicio</t>
  </si>
  <si>
    <t>Horas</t>
  </si>
  <si>
    <t>Tarifa/hora (₡)</t>
  </si>
  <si>
    <t>Factor cliente</t>
  </si>
  <si>
    <t>Monto (₡)</t>
  </si>
  <si>
    <t>S02</t>
  </si>
  <si>
    <t>S03</t>
  </si>
  <si>
    <t>S04</t>
  </si>
  <si>
    <t>S05</t>
  </si>
  <si>
    <t>S01</t>
  </si>
  <si>
    <t>S06</t>
  </si>
  <si>
    <t>S07</t>
  </si>
  <si>
    <t>S14</t>
  </si>
  <si>
    <t>S13</t>
  </si>
  <si>
    <t>S16</t>
  </si>
  <si>
    <t>S08</t>
  </si>
  <si>
    <t>S09</t>
  </si>
  <si>
    <t>S11</t>
  </si>
  <si>
    <t>Declaraciones presentadas por tipo y mes (conteo desde Facturacion)</t>
  </si>
  <si>
    <t>IVA (D-104)</t>
  </si>
  <si>
    <t>Retenciones (D-103)</t>
  </si>
  <si>
    <t>Renta (D-101/D-105)</t>
  </si>
  <si>
    <t>Planillas CCSS/INS</t>
  </si>
  <si>
    <t>Informativas (D-151)</t>
  </si>
  <si>
    <t>Catálogo de servicios según el tarifario de honorarios mínimos del Colegio de Contadores Públicos de Costa Rica (CCPA)</t>
  </si>
  <si>
    <t>Categorías I a VI del tarifario. Honorarios estándar = horas estándar x tarifa horaria de la hoja Parametros.</t>
  </si>
  <si>
    <t>Cat. CCPA</t>
  </si>
  <si>
    <t>Base de cobro CCPA</t>
  </si>
  <si>
    <t>Frecuencia</t>
  </si>
  <si>
    <t>Horas mínimas CCPA</t>
  </si>
  <si>
    <t>Horas estándar usadas</t>
  </si>
  <si>
    <t>Honorario estándar (₡ sin IVA)</t>
  </si>
  <si>
    <t>Honorario con IVA (₡)</t>
  </si>
  <si>
    <t>¿Lo presta ContaFacil?</t>
  </si>
  <si>
    <t>Origen de las horas</t>
  </si>
  <si>
    <t>Facturado en 36 meses (₡)</t>
  </si>
  <si>
    <t>N01</t>
  </si>
  <si>
    <t>I</t>
  </si>
  <si>
    <t>Auditoría de estados financieros - entidad privada no regulada</t>
  </si>
  <si>
    <t>Tarifa horaria; opinión anual mínimo 80 horas</t>
  </si>
  <si>
    <t>Anual</t>
  </si>
  <si>
    <t>No</t>
  </si>
  <si>
    <t>CCPA (mínimo oficial)</t>
  </si>
  <si>
    <t>N02</t>
  </si>
  <si>
    <t>Auditoría de estados financieros - entidad pública o regulada</t>
  </si>
  <si>
    <t>Tarifa horaria; opinión anual mínimo 100 horas</t>
  </si>
  <si>
    <t>II</t>
  </si>
  <si>
    <t>Asesoría contable, financiera y tributaria</t>
  </si>
  <si>
    <t>Tarifa horaria, sin mínimo de horas</t>
  </si>
  <si>
    <t>Eventual</t>
  </si>
  <si>
    <t>sin mínimo</t>
  </si>
  <si>
    <t>Sí</t>
  </si>
  <si>
    <t>CCPA (tarifa); 1 h = unidad</t>
  </si>
  <si>
    <t>Estados financieros mensuales</t>
  </si>
  <si>
    <t>Tarifa horaria sin mínimo; referencia de 3 horas/mes para pymes</t>
  </si>
  <si>
    <t>Mensual</t>
  </si>
  <si>
    <t>Fuente secundaria (3 h/mes)</t>
  </si>
  <si>
    <t>Declaración mensual de IVA (D-104)</t>
  </si>
  <si>
    <t>Tarifa horaria sin mínimo</t>
  </si>
  <si>
    <t>Supuesto del equipo</t>
  </si>
  <si>
    <t>Declaración mensual de retenciones (D-103)</t>
  </si>
  <si>
    <t>Supuesto del equipo (S03+S04 = 1 h)</t>
  </si>
  <si>
    <t>Cálculo de planillas y cargas sociales (CCSS/INS)</t>
  </si>
  <si>
    <t>Tarifa horaria sin mínimo; base 3 h + 0,5 h por empleado</t>
  </si>
  <si>
    <t>Fuente secundaria (3 h base); 0,5 h/empleado es supuesto</t>
  </si>
  <si>
    <t>Declaración anual de renta (D-101 / D-105)</t>
  </si>
  <si>
    <t>Estados financieros anuales / cierre fiscal</t>
  </si>
  <si>
    <t>Tarifa horaria sin mínimo; referencia de 6 horas</t>
  </si>
  <si>
    <t>Fuente secundaria (6 h)</t>
  </si>
  <si>
    <t>Declaración informativa anual (D-151)</t>
  </si>
  <si>
    <t>Conciliación anual de planillas (INS/CCSS)</t>
  </si>
  <si>
    <t>N03</t>
  </si>
  <si>
    <t>III</t>
  </si>
  <si>
    <t>Peritaje extrajudicial y arbitraje</t>
  </si>
  <si>
    <t>Tarifa horaria; mínimo 18 horas</t>
  </si>
  <si>
    <t>IV.a</t>
  </si>
  <si>
    <t>Certificación de ingresos y estudios generales</t>
  </si>
  <si>
    <t>Tarifa horaria; mínimo 3 horas</t>
  </si>
  <si>
    <t>IV.b</t>
  </si>
  <si>
    <t>Certificación para PYME / Régimen simplificado (MEIC)</t>
  </si>
  <si>
    <t>5% del ingreso neto mensual promedio; mínimo 3 horas</t>
  </si>
  <si>
    <t>CCPA (se usa el mínimo de horas)</t>
  </si>
  <si>
    <t>N04</t>
  </si>
  <si>
    <t>IV.c</t>
  </si>
  <si>
    <t>Certificación para entidades sin fines de lucro</t>
  </si>
  <si>
    <t>2,5% del superávit mensual promedio; mínimo 3 horas</t>
  </si>
  <si>
    <t>N05</t>
  </si>
  <si>
    <t>IV.e</t>
  </si>
  <si>
    <t>Certificación de saldo deudor bancario</t>
  </si>
  <si>
    <t>Mitad de la tarifa horaria por certificación (mín. 100 al mes)</t>
  </si>
  <si>
    <t>CCPA (≈ ¢11 347,86 en 2021)</t>
  </si>
  <si>
    <t>S12</t>
  </si>
  <si>
    <t>V</t>
  </si>
  <si>
    <t>Estudio de pre-factibilidad, factibilidad o flujo de caja</t>
  </si>
  <si>
    <t>5% del flujo de caja promedio; mínimo 10 horas</t>
  </si>
  <si>
    <t>S15</t>
  </si>
  <si>
    <t>VI.a</t>
  </si>
  <si>
    <t>Certificación de estados financieros (consistencia con registros)</t>
  </si>
  <si>
    <t>Tarifa horaria; mínimo 5 horas</t>
  </si>
  <si>
    <t>S10</t>
  </si>
  <si>
    <t>VI.b</t>
  </si>
  <si>
    <t>Certificación de hechos específicos (solvencia, capital, pasivos)</t>
  </si>
  <si>
    <t>VI.c</t>
  </si>
  <si>
    <t>Estudio especial (control interno, análisis financiero)</t>
  </si>
  <si>
    <t>VI.d</t>
  </si>
  <si>
    <t>Otros trabajos profesionales no contemplados</t>
  </si>
  <si>
    <t>Gris = servicios del tarifario que ContaFacil no presta (auditoría, peritajes, certificaciones bancarias, etc.). Se incluyen para que el catálogo refleje el tarifario completo.</t>
  </si>
  <si>
    <t>Parámetros del cálculo de honorarios</t>
  </si>
  <si>
    <t>Parámetro</t>
  </si>
  <si>
    <t>Valor</t>
  </si>
  <si>
    <t>Fuente / nota</t>
  </si>
  <si>
    <t>Tarifa horaria mínima usada (₡, sin IVA)</t>
  </si>
  <si>
    <t>Fuente secundaria (Consultores Jiménez, tarifas 2026) la cita como tarifa mínima del CCPA vigente desde dic-2022. VERIFICAR en ccpa.or.cr antes de entregar.</t>
  </si>
  <si>
    <t>IVA</t>
  </si>
  <si>
    <t>Tasa general de IVA en Costa Rica. Los ingresos del pronóstico se miden SIN IVA.</t>
  </si>
  <si>
    <t>Tarifa horaria en el PDF oficial THPMCPA-14-2021 (₡)</t>
  </si>
  <si>
    <t>PDF del CCPA publicado en La Gaceta N° 188 (30-sep-2021). Solo referencia.</t>
  </si>
  <si>
    <t>Vigencia de la tarifa usada</t>
  </si>
  <si>
    <t>dic-2022</t>
  </si>
  <si>
    <t>Según la misma fuente secundaria; el CCPA actualiza la tarifa por acuerdo.</t>
  </si>
  <si>
    <t>Para cambiar la tarifa, edite la celda B4: todos los montos de Facturacion, Detalle_Clientes e Ingresos se recalculan.</t>
  </si>
  <si>
    <t>Catálogo de clientes (ficticios)</t>
  </si>
  <si>
    <t>Código</t>
  </si>
  <si>
    <t>Tipo de contribuyente</t>
  </si>
  <si>
    <t>Servicios contratados</t>
  </si>
  <si>
    <t>Factor sobre tarifa mínima</t>
  </si>
  <si>
    <t>Inicio de la relación</t>
  </si>
  <si>
    <t>Persona jurídica</t>
  </si>
  <si>
    <t>Contabilidad + IVA + retenciones + planilla (volumen alto)</t>
  </si>
  <si>
    <t>Estados financieros mensuales + IVA + retenciones</t>
  </si>
  <si>
    <t>Persona física con act. lucrativa</t>
  </si>
  <si>
    <t>IVA + renta</t>
  </si>
  <si>
    <t>IVA + retenciones + planilla pequeña</t>
  </si>
  <si>
    <t>Régimen simplificado: renta + certificaciones</t>
  </si>
  <si>
    <t>IVA + retenciones + renta</t>
  </si>
  <si>
    <t>IVA + planilla pequeña</t>
  </si>
  <si>
    <t>Contabilidad básica + renta + certificaciones</t>
  </si>
  <si>
    <t>Supuestos y fuentes</t>
  </si>
  <si>
    <t>DATOS FICTICIOS: ContaFacil no puede entregar su historial por confidencialidad. Los ingresos se simularon con las reglas de abajo.</t>
  </si>
  <si>
    <t>- 36 meses (oct-2023 a sep-2026), 12 clientes con nombres inventados. Ingresos totales entre ~₡1,3 M y ~₡2,0 M por mes, sin IVA.</t>
  </si>
  <si>
    <t>- Cada ingreso = horas x tarifa horaria mínima del CCPA x factor del cliente (1,00 a 1,15). Hay una línea por cliente, servicio y mes en la hoja Facturacion.</t>
  </si>
  <si>
    <t>- Cliente C01 (el mayor): contabilidad, IVA, retenciones y planilla. La planilla varía con el número de empleados (3 h base + 0,5 h por empleado), por eso su pago es variable (≈ ₡0,67 M a ₡1,15 M, con tope de ₡1,2 M).</t>
  </si>
  <si>
    <t>- Estacionalidad: picos en diciembre y marzo (declaración anual de renta y cierres), actividad extra en enero (planillas anuales) y febrero (informativas); valle en mitad de año.</t>
  </si>
  <si>
    <t>- Tendencia creciente por entrada de dos clientes (C11 en feb-2024, C12 en ago-2024), más empleados en C01 y un pequeño aumento de horas por cliente.</t>
  </si>
  <si>
    <t>- Servicios eventuales (certificaciones, asesorías, estudios) aparecen al azar y agregan ruido.</t>
  </si>
  <si>
    <t>- Declaraciones: unas 15 al mes en promedio (IVA, retenciones, planillas) más las anuales en sus meses.</t>
  </si>
  <si>
    <t>- Las horas estándar marcadas 'Supuesto del equipo' en el catálogo NO provienen del CCPA; justifíquenlas con el gerente en la entrevista.</t>
  </si>
  <si>
    <t>- Fechas de renta supuestas: período ordinario con presentación en diciembre; período especial con presentación en marzo. Verificar con el calendario de Hacienda.</t>
  </si>
  <si>
    <t>FUENTES</t>
  </si>
  <si>
    <t>- CCPA. Tarifas de Honorarios Profesionales Mínimos de los CPA (THPMCPA-14-2021): https://ccpa.or.cr/wp-content/themes/maximus/pdf/fiscalia/Tarifas%20de%20Honorarios%20Profesionales%20M%C3%ADnimos%20de%20los%20CPA.pdf</t>
  </si>
  <si>
    <t>- CCPA. Tarifas obligatorias (página oficial, verificar tarifa vigente): https://ccpa.or.cr/tarifas-por-servicios-profesionales/</t>
  </si>
  <si>
    <t>- Consultores Jiménez. ¿Cuánto cobra un contador en Costa Rica? Tarifas de referencia 2026 (tarifa horaria ₡28 681 y referencias de 3 h y 6 h): https://consultoresjimenez.com/cuanto-cobra-un-contador-en-costa-rica/</t>
  </si>
  <si>
    <t>- CRHoy (27-dic-2024). Sala IV publica resolución que mantiene tarifas mínimas para el Colegio de Contadores: https://crhoy.com/nacionales/sala-iv-publica-resolucion-que-mantiene-tarifas-minimas-para-colegio-de-contadores/</t>
  </si>
  <si>
    <t>T4</t>
  </si>
  <si>
    <t>T1</t>
  </si>
  <si>
    <t>T2</t>
  </si>
  <si>
    <t>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</si>
</sst>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-yyyy"/>
    <numFmt numFmtId="165" formatCode="0.0%"/>
  </numFmts>
  <fonts count="8" x14ac:knownFonts="1">
    <font>
      <sz val="11"/>
      <color theme="1"/>
      <name val="Calibri"/>
      <family val="2"/>
      <charset val="1"/>
    </font>
    <font>
      <b/>
      <sz val="13"/>
      <name val="Cambria"/>
      <family val="1"/>
    </font>
    <font>
      <b/>
      <sz val="11"/>
      <color rgb="FFFFFFFF"/>
      <name val="Cambria"/>
      <family val="1"/>
    </font>
    <font>
      <b/>
      <sz val="11"/>
      <name val="Cambria"/>
      <family val="1"/>
    </font>
    <font>
      <i/>
      <sz val="11"/>
      <color rgb="FF888888"/>
      <name val="Cambria"/>
      <family val="1"/>
    </font>
    <font>
      <i/>
      <sz val="11"/>
      <color rgb="FF666666"/>
      <name val="Cambria"/>
      <family val="1"/>
    </font>
    <font>
      <sz val="11"/>
      <color rgb="FF888888"/>
      <name val="Cambria"/>
      <family val="1"/>
    </font>
    <font>
      <i/>
      <sz val="1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FFFF"/>
      </patternFill>
    </fill>
  </fills>
  <borders count="2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164" fontId="0" fillId="0" borderId="1" xfId="0" applyNumberFormat="1" applyBorder="1"/>
    <xf numFmtId="3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5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center"/>
    </xf>
    <xf numFmtId="3" fontId="3" fillId="0" borderId="1" xfId="0" applyNumberFormat="1" applyFont="1" applyBorder="1"/>
    <xf numFmtId="0" fontId="5" fillId="0" borderId="0" xfId="0" applyFont="1"/>
    <xf numFmtId="164" fontId="0" fillId="0" borderId="0" xfId="0" applyNumberFormat="1"/>
    <xf numFmtId="2" fontId="0" fillId="0" borderId="0" xfId="0" applyNumberFormat="1"/>
    <xf numFmtId="3" fontId="0" fillId="0" borderId="0" xfId="0" applyNumberFormat="1"/>
    <xf numFmtId="0" fontId="3" fillId="0" borderId="1" xfId="0" applyFont="1" applyBorder="1"/>
    <xf numFmtId="0" fontId="6" fillId="0" borderId="1" xfId="0" applyFont="1" applyBorder="1" applyAlignment="1">
      <alignment vertical="top" wrapText="1"/>
    </xf>
    <xf numFmtId="3" fontId="6" fillId="0" borderId="1" xfId="0" applyNumberFormat="1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3" fontId="0" fillId="0" borderId="1" xfId="0" applyNumberFormat="1" applyBorder="1" applyAlignment="1">
      <alignment vertical="top" wrapText="1"/>
    </xf>
    <xf numFmtId="0" fontId="7" fillId="0" borderId="0" xfId="0" applyFont="1"/>
    <xf numFmtId="3" fontId="0" fillId="3" borderId="1" xfId="0" applyNumberFormat="1" applyFill="1" applyBorder="1" applyAlignment="1">
      <alignment vertical="top" wrapText="1"/>
    </xf>
    <xf numFmtId="9" fontId="0" fillId="0" borderId="1" xfId="0" applyNumberFormat="1" applyBorder="1" applyAlignment="1">
      <alignment vertical="top" wrapText="1"/>
    </xf>
    <xf numFmtId="4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BBBBB"/>
      <rgbColor rgb="FF888888"/>
      <rgbColor rgb="FF9999FF"/>
      <rgbColor rgb="FF993366"/>
      <rgbColor rgb="FFFFF2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75"/>
  <sheetViews>
    <sheetView tabSelected="1" zoomScaleNormal="100" workbookViewId="0">
      <selection activeCell="M9" sqref="M9"/>
    </sheetView>
  </sheetViews>
  <sheetFormatPr baseColWidth="10" defaultColWidth="8.6640625" defaultRowHeight="14.4" x14ac:dyDescent="0.3"/>
  <cols>
    <col min="1" max="1" width="14" customWidth="1"/>
    <col min="2" max="2" width="18" customWidth="1"/>
  </cols>
  <sheetData>
    <row r="1" spans="1:4" ht="16.8" x14ac:dyDescent="0.3">
      <c r="A1" s="1" t="s">
        <v>0</v>
      </c>
    </row>
    <row r="3" spans="1:4" x14ac:dyDescent="0.3">
      <c r="A3" s="2" t="s">
        <v>1</v>
      </c>
      <c r="B3" s="2" t="s">
        <v>2</v>
      </c>
      <c r="D3" s="3" t="s">
        <v>3</v>
      </c>
    </row>
    <row r="4" spans="1:4" x14ac:dyDescent="0.3">
      <c r="A4" s="4">
        <v>45200</v>
      </c>
      <c r="B4" s="5">
        <f>Ingresos_Mensuales!C4</f>
        <v>1328649</v>
      </c>
      <c r="D4" t="s">
        <v>4</v>
      </c>
    </row>
    <row r="5" spans="1:4" x14ac:dyDescent="0.3">
      <c r="A5" s="4">
        <v>45231</v>
      </c>
      <c r="B5" s="5">
        <f>Ingresos_Mensuales!C5</f>
        <v>1307139</v>
      </c>
      <c r="D5" t="s">
        <v>5</v>
      </c>
    </row>
    <row r="6" spans="1:4" x14ac:dyDescent="0.3">
      <c r="A6" s="4">
        <v>45261</v>
      </c>
      <c r="B6" s="5">
        <f>Ingresos_Mensuales!C6</f>
        <v>1839173</v>
      </c>
    </row>
    <row r="7" spans="1:4" x14ac:dyDescent="0.3">
      <c r="A7" s="4">
        <v>45292</v>
      </c>
      <c r="B7" s="5">
        <f>Ingresos_Mensuales!C7</f>
        <v>1708672</v>
      </c>
    </row>
    <row r="8" spans="1:4" x14ac:dyDescent="0.3">
      <c r="A8" s="4">
        <v>45323</v>
      </c>
      <c r="B8" s="5">
        <f>Ingresos_Mensuales!C8</f>
        <v>1523683</v>
      </c>
    </row>
    <row r="9" spans="1:4" x14ac:dyDescent="0.3">
      <c r="A9" s="4">
        <v>45352</v>
      </c>
      <c r="B9" s="5">
        <f>Ingresos_Mensuales!C9</f>
        <v>1825549</v>
      </c>
    </row>
    <row r="10" spans="1:4" x14ac:dyDescent="0.3">
      <c r="A10" s="4">
        <v>45383</v>
      </c>
      <c r="B10" s="5">
        <f>Ingresos_Mensuales!C10</f>
        <v>1335820</v>
      </c>
    </row>
    <row r="11" spans="1:4" x14ac:dyDescent="0.3">
      <c r="A11" s="4">
        <v>45413</v>
      </c>
      <c r="B11" s="5">
        <f>Ingresos_Mensuales!C11</f>
        <v>1489262</v>
      </c>
    </row>
    <row r="12" spans="1:4" x14ac:dyDescent="0.3">
      <c r="A12" s="4">
        <v>45444</v>
      </c>
      <c r="B12" s="5">
        <f>Ingresos_Mensuales!C12</f>
        <v>1307138</v>
      </c>
    </row>
    <row r="13" spans="1:4" x14ac:dyDescent="0.3">
      <c r="A13" s="4">
        <v>45474</v>
      </c>
      <c r="B13" s="5">
        <f>Ingresos_Mensuales!C13</f>
        <v>1648442</v>
      </c>
    </row>
    <row r="14" spans="1:4" x14ac:dyDescent="0.3">
      <c r="A14" s="4">
        <v>45505</v>
      </c>
      <c r="B14" s="5">
        <f>Ingresos_Mensuales!C14</f>
        <v>1342990</v>
      </c>
    </row>
    <row r="15" spans="1:4" x14ac:dyDescent="0.3">
      <c r="A15" s="4">
        <v>45536</v>
      </c>
      <c r="B15" s="5">
        <f>Ingresos_Mensuales!C15</f>
        <v>1307138</v>
      </c>
    </row>
    <row r="16" spans="1:4" x14ac:dyDescent="0.3">
      <c r="A16" s="4">
        <v>45566</v>
      </c>
      <c r="B16" s="5">
        <f>Ingresos_Mensuales!C16</f>
        <v>1393182</v>
      </c>
    </row>
    <row r="17" spans="1:2" x14ac:dyDescent="0.3">
      <c r="A17" s="4">
        <v>45597</v>
      </c>
      <c r="B17" s="5">
        <f>Ingresos_Mensuales!C17</f>
        <v>1386011</v>
      </c>
    </row>
    <row r="18" spans="1:2" x14ac:dyDescent="0.3">
      <c r="A18" s="4">
        <v>45627</v>
      </c>
      <c r="B18" s="5">
        <f>Ingresos_Mensuales!C18</f>
        <v>1865702</v>
      </c>
    </row>
    <row r="19" spans="1:2" x14ac:dyDescent="0.3">
      <c r="A19" s="4">
        <v>45658</v>
      </c>
      <c r="B19" s="5">
        <f>Ingresos_Mensuales!C19</f>
        <v>1737354</v>
      </c>
    </row>
    <row r="20" spans="1:2" x14ac:dyDescent="0.3">
      <c r="A20" s="4">
        <v>45689</v>
      </c>
      <c r="B20" s="5">
        <f>Ingresos_Mensuales!C20</f>
        <v>1596821</v>
      </c>
    </row>
    <row r="21" spans="1:2" x14ac:dyDescent="0.3">
      <c r="A21" s="4">
        <v>45717</v>
      </c>
      <c r="B21" s="5">
        <f>Ingresos_Mensuales!C21</f>
        <v>1985446</v>
      </c>
    </row>
    <row r="22" spans="1:2" x14ac:dyDescent="0.3">
      <c r="A22" s="4">
        <v>45748</v>
      </c>
      <c r="B22" s="5">
        <f>Ingresos_Mensuales!C22</f>
        <v>1550926</v>
      </c>
    </row>
    <row r="23" spans="1:2" x14ac:dyDescent="0.3">
      <c r="A23" s="4">
        <v>45778</v>
      </c>
      <c r="B23" s="5">
        <f>Ingresos_Mensuales!C23</f>
        <v>1400352</v>
      </c>
    </row>
    <row r="24" spans="1:2" x14ac:dyDescent="0.3">
      <c r="A24" s="4">
        <v>45809</v>
      </c>
      <c r="B24" s="5">
        <f>Ingresos_Mensuales!C24</f>
        <v>1641272</v>
      </c>
    </row>
    <row r="25" spans="1:2" x14ac:dyDescent="0.3">
      <c r="A25" s="4">
        <v>45839</v>
      </c>
      <c r="B25" s="5">
        <f>Ingresos_Mensuales!C25</f>
        <v>1400352</v>
      </c>
    </row>
    <row r="26" spans="1:2" x14ac:dyDescent="0.3">
      <c r="A26" s="4">
        <v>45870</v>
      </c>
      <c r="B26" s="5">
        <f>Ingresos_Mensuales!C26</f>
        <v>1542322</v>
      </c>
    </row>
    <row r="27" spans="1:2" x14ac:dyDescent="0.3">
      <c r="A27" s="4">
        <v>45901</v>
      </c>
      <c r="B27" s="5">
        <f>Ingresos_Mensuales!C27</f>
        <v>1444089</v>
      </c>
    </row>
    <row r="28" spans="1:2" x14ac:dyDescent="0.3">
      <c r="A28" s="4">
        <v>45931</v>
      </c>
      <c r="B28" s="5">
        <f>Ingresos_Mensuales!C28</f>
        <v>1423296</v>
      </c>
    </row>
    <row r="29" spans="1:2" x14ac:dyDescent="0.3">
      <c r="A29" s="4">
        <v>45962</v>
      </c>
      <c r="B29" s="5">
        <f>Ingresos_Mensuales!C29</f>
        <v>1458430</v>
      </c>
    </row>
    <row r="30" spans="1:2" x14ac:dyDescent="0.3">
      <c r="A30" s="4">
        <v>45992</v>
      </c>
      <c r="B30" s="5">
        <f>Ingresos_Mensuales!C30</f>
        <v>1986163</v>
      </c>
    </row>
    <row r="31" spans="1:2" x14ac:dyDescent="0.3">
      <c r="A31" s="4">
        <v>46023</v>
      </c>
      <c r="B31" s="5">
        <f>Ingresos_Mensuales!C31</f>
        <v>1752410</v>
      </c>
    </row>
    <row r="32" spans="1:2" x14ac:dyDescent="0.3">
      <c r="A32" s="4">
        <v>46054</v>
      </c>
      <c r="B32" s="5">
        <f>Ingresos_Mensuales!C32</f>
        <v>1690750</v>
      </c>
    </row>
    <row r="33" spans="1:3" x14ac:dyDescent="0.3">
      <c r="A33" s="4">
        <v>46082</v>
      </c>
      <c r="B33" s="5">
        <f>Ingresos_Mensuales!C33</f>
        <v>1953538</v>
      </c>
    </row>
    <row r="34" spans="1:3" x14ac:dyDescent="0.3">
      <c r="A34" s="4">
        <v>46113</v>
      </c>
      <c r="B34" s="5">
        <f>Ingresos_Mensuales!C34</f>
        <v>1571719</v>
      </c>
    </row>
    <row r="35" spans="1:3" x14ac:dyDescent="0.3">
      <c r="A35" s="4">
        <v>46143</v>
      </c>
      <c r="B35" s="5">
        <f>Ingresos_Mensuales!C35</f>
        <v>1436202</v>
      </c>
    </row>
    <row r="36" spans="1:3" x14ac:dyDescent="0.3">
      <c r="A36" s="4">
        <v>46174</v>
      </c>
      <c r="B36" s="5">
        <f>Ingresos_Mensuales!C36</f>
        <v>1837736</v>
      </c>
    </row>
    <row r="37" spans="1:3" x14ac:dyDescent="0.3">
      <c r="A37" s="4">
        <v>46204</v>
      </c>
      <c r="B37" s="5">
        <f>Ingresos_Mensuales!C37</f>
        <v>1450543</v>
      </c>
    </row>
    <row r="38" spans="1:3" x14ac:dyDescent="0.3">
      <c r="A38" s="4">
        <v>46235</v>
      </c>
      <c r="B38" s="5">
        <f>Ingresos_Mensuales!C38</f>
        <v>1528700</v>
      </c>
    </row>
    <row r="39" spans="1:3" x14ac:dyDescent="0.3">
      <c r="A39" s="4">
        <v>46266</v>
      </c>
      <c r="B39" s="5">
        <f>Ingresos_Mensuales!C39</f>
        <v>1540888</v>
      </c>
    </row>
    <row r="40" spans="1:3" x14ac:dyDescent="0.3">
      <c r="A40" t="s">
        <v>212</v>
      </c>
      <c r="B40">
        <v>2023</v>
      </c>
      <c r="C40">
        <v>1328649</v>
      </c>
    </row>
    <row r="41" spans="1:3" x14ac:dyDescent="0.3">
      <c r="A41" t="s">
        <v>212</v>
      </c>
      <c r="B41">
        <v>2023</v>
      </c>
      <c r="C41">
        <v>1307139</v>
      </c>
    </row>
    <row r="42" spans="1:3" x14ac:dyDescent="0.3">
      <c r="A42" t="s">
        <v>212</v>
      </c>
      <c r="B42">
        <v>2023</v>
      </c>
      <c r="C42">
        <v>1839173</v>
      </c>
    </row>
    <row r="43" spans="1:3" x14ac:dyDescent="0.3">
      <c r="A43" t="s">
        <v>213</v>
      </c>
      <c r="B43">
        <v>2024</v>
      </c>
      <c r="C43">
        <v>1708672</v>
      </c>
    </row>
    <row r="44" spans="1:3" x14ac:dyDescent="0.3">
      <c r="A44" t="s">
        <v>213</v>
      </c>
      <c r="B44">
        <v>2024</v>
      </c>
      <c r="C44">
        <v>1523683</v>
      </c>
    </row>
    <row r="45" spans="1:3" x14ac:dyDescent="0.3">
      <c r="A45" t="s">
        <v>213</v>
      </c>
      <c r="B45">
        <v>2024</v>
      </c>
      <c r="C45">
        <v>1825549</v>
      </c>
    </row>
    <row r="46" spans="1:3" x14ac:dyDescent="0.3">
      <c r="A46" t="s">
        <v>214</v>
      </c>
      <c r="B46">
        <v>2024</v>
      </c>
      <c r="C46">
        <v>1335820</v>
      </c>
    </row>
    <row r="47" spans="1:3" x14ac:dyDescent="0.3">
      <c r="A47" t="s">
        <v>214</v>
      </c>
      <c r="B47">
        <v>2024</v>
      </c>
      <c r="C47">
        <v>1489262</v>
      </c>
    </row>
    <row r="48" spans="1:3" x14ac:dyDescent="0.3">
      <c r="A48" t="s">
        <v>214</v>
      </c>
      <c r="B48">
        <v>2024</v>
      </c>
      <c r="C48">
        <v>1307138</v>
      </c>
    </row>
    <row r="49" spans="1:3" x14ac:dyDescent="0.3">
      <c r="A49" t="s">
        <v>215</v>
      </c>
      <c r="B49">
        <v>2024</v>
      </c>
      <c r="C49">
        <v>1648442</v>
      </c>
    </row>
    <row r="50" spans="1:3" x14ac:dyDescent="0.3">
      <c r="A50" t="s">
        <v>215</v>
      </c>
      <c r="B50">
        <v>2024</v>
      </c>
      <c r="C50">
        <v>1342990</v>
      </c>
    </row>
    <row r="51" spans="1:3" x14ac:dyDescent="0.3">
      <c r="A51" t="s">
        <v>215</v>
      </c>
      <c r="B51">
        <v>2024</v>
      </c>
      <c r="C51">
        <v>1307138</v>
      </c>
    </row>
    <row r="52" spans="1:3" x14ac:dyDescent="0.3">
      <c r="A52" t="s">
        <v>212</v>
      </c>
      <c r="B52">
        <v>2024</v>
      </c>
      <c r="C52">
        <v>1393182</v>
      </c>
    </row>
    <row r="53" spans="1:3" x14ac:dyDescent="0.3">
      <c r="A53" t="s">
        <v>212</v>
      </c>
      <c r="B53">
        <v>2024</v>
      </c>
      <c r="C53">
        <v>1386011</v>
      </c>
    </row>
    <row r="54" spans="1:3" x14ac:dyDescent="0.3">
      <c r="A54" t="s">
        <v>212</v>
      </c>
      <c r="B54">
        <v>2024</v>
      </c>
      <c r="C54">
        <v>1865702</v>
      </c>
    </row>
    <row r="55" spans="1:3" x14ac:dyDescent="0.3">
      <c r="A55" t="s">
        <v>213</v>
      </c>
      <c r="B55">
        <v>2025</v>
      </c>
      <c r="C55">
        <v>1737354</v>
      </c>
    </row>
    <row r="56" spans="1:3" x14ac:dyDescent="0.3">
      <c r="A56" t="s">
        <v>213</v>
      </c>
      <c r="B56">
        <v>2025</v>
      </c>
      <c r="C56">
        <v>1596821</v>
      </c>
    </row>
    <row r="57" spans="1:3" x14ac:dyDescent="0.3">
      <c r="A57" t="s">
        <v>213</v>
      </c>
      <c r="B57">
        <v>2025</v>
      </c>
      <c r="C57">
        <v>1985446</v>
      </c>
    </row>
    <row r="58" spans="1:3" x14ac:dyDescent="0.3">
      <c r="A58" t="s">
        <v>214</v>
      </c>
      <c r="B58">
        <v>2025</v>
      </c>
      <c r="C58">
        <v>1550926</v>
      </c>
    </row>
    <row r="59" spans="1:3" x14ac:dyDescent="0.3">
      <c r="A59" t="s">
        <v>214</v>
      </c>
      <c r="B59">
        <v>2025</v>
      </c>
      <c r="C59">
        <v>1400352</v>
      </c>
    </row>
    <row r="60" spans="1:3" x14ac:dyDescent="0.3">
      <c r="A60" t="s">
        <v>214</v>
      </c>
      <c r="B60">
        <v>2025</v>
      </c>
      <c r="C60">
        <v>1641272</v>
      </c>
    </row>
    <row r="61" spans="1:3" x14ac:dyDescent="0.3">
      <c r="A61" t="s">
        <v>215</v>
      </c>
      <c r="B61">
        <v>2025</v>
      </c>
      <c r="C61">
        <v>1400352</v>
      </c>
    </row>
    <row r="62" spans="1:3" x14ac:dyDescent="0.3">
      <c r="A62" t="s">
        <v>215</v>
      </c>
      <c r="B62">
        <v>2025</v>
      </c>
      <c r="C62">
        <v>1542322</v>
      </c>
    </row>
    <row r="63" spans="1:3" x14ac:dyDescent="0.3">
      <c r="A63" t="s">
        <v>215</v>
      </c>
      <c r="B63">
        <v>2025</v>
      </c>
      <c r="C63">
        <v>1444089</v>
      </c>
    </row>
    <row r="64" spans="1:3" x14ac:dyDescent="0.3">
      <c r="A64" t="s">
        <v>212</v>
      </c>
      <c r="B64">
        <v>2025</v>
      </c>
      <c r="C64">
        <v>1423296</v>
      </c>
    </row>
    <row r="65" spans="1:3" x14ac:dyDescent="0.3">
      <c r="A65" t="s">
        <v>212</v>
      </c>
      <c r="B65">
        <v>2025</v>
      </c>
      <c r="C65">
        <v>1458430</v>
      </c>
    </row>
    <row r="66" spans="1:3" x14ac:dyDescent="0.3">
      <c r="A66" t="s">
        <v>212</v>
      </c>
      <c r="B66">
        <v>2025</v>
      </c>
      <c r="C66">
        <v>1986163</v>
      </c>
    </row>
    <row r="67" spans="1:3" x14ac:dyDescent="0.3">
      <c r="A67" t="s">
        <v>213</v>
      </c>
      <c r="B67">
        <v>2026</v>
      </c>
      <c r="C67">
        <v>1752410</v>
      </c>
    </row>
    <row r="68" spans="1:3" x14ac:dyDescent="0.3">
      <c r="A68" t="s">
        <v>213</v>
      </c>
      <c r="B68">
        <v>2026</v>
      </c>
      <c r="C68">
        <v>1690750</v>
      </c>
    </row>
    <row r="69" spans="1:3" x14ac:dyDescent="0.3">
      <c r="A69" t="s">
        <v>213</v>
      </c>
      <c r="B69">
        <v>2026</v>
      </c>
      <c r="C69">
        <v>1953538</v>
      </c>
    </row>
    <row r="70" spans="1:3" x14ac:dyDescent="0.3">
      <c r="A70" t="s">
        <v>214</v>
      </c>
      <c r="B70">
        <v>2026</v>
      </c>
      <c r="C70">
        <v>1571719</v>
      </c>
    </row>
    <row r="71" spans="1:3" x14ac:dyDescent="0.3">
      <c r="A71" t="s">
        <v>214</v>
      </c>
      <c r="B71">
        <v>2026</v>
      </c>
      <c r="C71">
        <v>1436202</v>
      </c>
    </row>
    <row r="72" spans="1:3" x14ac:dyDescent="0.3">
      <c r="A72" t="s">
        <v>214</v>
      </c>
      <c r="B72">
        <v>2026</v>
      </c>
      <c r="C72">
        <v>1837736</v>
      </c>
    </row>
    <row r="73" spans="1:3" x14ac:dyDescent="0.3">
      <c r="A73" t="s">
        <v>215</v>
      </c>
      <c r="B73">
        <v>2026</v>
      </c>
      <c r="C73">
        <v>1450543</v>
      </c>
    </row>
    <row r="74" spans="1:3" x14ac:dyDescent="0.3">
      <c r="A74" t="s">
        <v>215</v>
      </c>
      <c r="B74">
        <v>2026</v>
      </c>
      <c r="C74">
        <v>1528700</v>
      </c>
    </row>
    <row r="75" spans="1:3" x14ac:dyDescent="0.3">
      <c r="A75" t="s">
        <v>215</v>
      </c>
      <c r="B75">
        <v>2026</v>
      </c>
      <c r="C75">
        <v>1540888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738FE-B710-4399-8CEB-7CCD08DF4C5B}">
  <sheetPr codeName="Hoja10"/>
  <dimension ref="A1"/>
  <sheetViews>
    <sheetView workbookViewId="0">
      <selection activeCell="G28" sqref="G28"/>
    </sheetView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39"/>
  <sheetViews>
    <sheetView zoomScaleNormal="100" workbookViewId="0">
      <selection activeCell="G12" sqref="G12"/>
    </sheetView>
  </sheetViews>
  <sheetFormatPr baseColWidth="10" defaultColWidth="8.6640625" defaultRowHeight="14.4" x14ac:dyDescent="0.3"/>
  <cols>
    <col min="1" max="1" width="8" customWidth="1"/>
    <col min="2" max="2" width="13" customWidth="1"/>
    <col min="3" max="3" width="20" customWidth="1"/>
    <col min="4" max="4" width="16" customWidth="1"/>
    <col min="5" max="5" width="24" customWidth="1"/>
    <col min="6" max="6" width="16" customWidth="1"/>
    <col min="7" max="7" width="22" customWidth="1"/>
    <col min="8" max="8" width="16" customWidth="1"/>
  </cols>
  <sheetData>
    <row r="1" spans="1:8" ht="16.8" x14ac:dyDescent="0.3">
      <c r="A1" s="1" t="s">
        <v>6</v>
      </c>
    </row>
    <row r="3" spans="1:8" ht="31.5" customHeight="1" x14ac:dyDescent="0.3">
      <c r="A3" s="2" t="s">
        <v>7</v>
      </c>
      <c r="B3" s="2" t="s">
        <v>8</v>
      </c>
      <c r="C3" s="2" t="s">
        <v>9</v>
      </c>
      <c r="D3" s="2" t="s">
        <v>10</v>
      </c>
      <c r="E3" s="2" t="s">
        <v>11</v>
      </c>
      <c r="F3" s="2" t="s">
        <v>12</v>
      </c>
      <c r="G3" s="2" t="s">
        <v>13</v>
      </c>
      <c r="H3" s="2" t="s">
        <v>14</v>
      </c>
    </row>
    <row r="4" spans="1:8" x14ac:dyDescent="0.3">
      <c r="A4" s="6">
        <v>2023</v>
      </c>
      <c r="B4" s="6" t="s">
        <v>15</v>
      </c>
      <c r="C4" s="5">
        <f>Detalle_Clientes!N4</f>
        <v>1328649</v>
      </c>
      <c r="D4" s="6">
        <f>COUNTIF(Detalle_Clientes!B4:M4,"&gt;0")</f>
        <v>8</v>
      </c>
      <c r="E4" s="6">
        <f>Declaraciones!G4</f>
        <v>15</v>
      </c>
      <c r="F4" s="7">
        <f>SUMIFS(Facturacion!$F$4:$F$724,Facturacion!$A$4:$A$724,Detalle_Clientes!A4)</f>
        <v>46.25</v>
      </c>
      <c r="G4" s="5">
        <f>Detalle_Clientes!B4</f>
        <v>688344</v>
      </c>
      <c r="H4" s="8">
        <f t="shared" ref="H4:H39" si="0">G4/C4</f>
        <v>0.51807813801839309</v>
      </c>
    </row>
    <row r="5" spans="1:8" x14ac:dyDescent="0.3">
      <c r="A5" s="6">
        <v>2023</v>
      </c>
      <c r="B5" s="6" t="s">
        <v>16</v>
      </c>
      <c r="C5" s="5">
        <f>Detalle_Clientes!N5</f>
        <v>1307139</v>
      </c>
      <c r="D5" s="6">
        <f>COUNTIF(Detalle_Clientes!B5:M5,"&gt;0")</f>
        <v>8</v>
      </c>
      <c r="E5" s="6">
        <f>Declaraciones!G5</f>
        <v>15</v>
      </c>
      <c r="F5" s="7">
        <f>SUMIFS(Facturacion!$F$4:$F$724,Facturacion!$A$4:$A$724,Detalle_Clientes!A5)</f>
        <v>45.5</v>
      </c>
      <c r="G5" s="5">
        <f>Detalle_Clientes!B5</f>
        <v>702685</v>
      </c>
      <c r="H5" s="8">
        <f t="shared" si="0"/>
        <v>0.5375748103300414</v>
      </c>
    </row>
    <row r="6" spans="1:8" x14ac:dyDescent="0.3">
      <c r="A6" s="6">
        <v>2023</v>
      </c>
      <c r="B6" s="6" t="s">
        <v>17</v>
      </c>
      <c r="C6" s="5">
        <f>Detalle_Clientes!N6</f>
        <v>1839173</v>
      </c>
      <c r="D6" s="6">
        <f>COUNTIF(Detalle_Clientes!B6:M6,"&gt;0")</f>
        <v>8</v>
      </c>
      <c r="E6" s="6">
        <f>Declaraciones!G6</f>
        <v>20</v>
      </c>
      <c r="F6" s="7">
        <f>SUMIFS(Facturacion!$F$4:$F$724,Facturacion!$A$4:$A$724,Detalle_Clientes!A6)</f>
        <v>63.75</v>
      </c>
      <c r="G6" s="5">
        <f>Detalle_Clientes!B6</f>
        <v>989495</v>
      </c>
      <c r="H6" s="8">
        <f t="shared" si="0"/>
        <v>0.53801083421733575</v>
      </c>
    </row>
    <row r="7" spans="1:8" x14ac:dyDescent="0.3">
      <c r="A7" s="6">
        <v>2024</v>
      </c>
      <c r="B7" s="6" t="s">
        <v>18</v>
      </c>
      <c r="C7" s="5">
        <f>Detalle_Clientes!N7</f>
        <v>1708672</v>
      </c>
      <c r="D7" s="6">
        <f>COUNTIF(Detalle_Clientes!B7:M7,"&gt;0")</f>
        <v>8</v>
      </c>
      <c r="E7" s="6">
        <f>Declaraciones!G7</f>
        <v>18</v>
      </c>
      <c r="F7" s="7">
        <f>SUMIFS(Facturacion!$F$4:$F$724,Facturacion!$A$4:$A$724,Detalle_Clientes!A7)</f>
        <v>59.5</v>
      </c>
      <c r="G7" s="5">
        <f>Detalle_Clientes!B7</f>
        <v>774387</v>
      </c>
      <c r="H7" s="8">
        <f t="shared" si="0"/>
        <v>0.45320986122555995</v>
      </c>
    </row>
    <row r="8" spans="1:8" x14ac:dyDescent="0.3">
      <c r="A8" s="6">
        <v>2024</v>
      </c>
      <c r="B8" s="6" t="s">
        <v>19</v>
      </c>
      <c r="C8" s="5">
        <f>Detalle_Clientes!N8</f>
        <v>1523683</v>
      </c>
      <c r="D8" s="6">
        <f>COUNTIF(Detalle_Clientes!B8:M8,"&gt;0")</f>
        <v>9</v>
      </c>
      <c r="E8" s="6">
        <f>Declaraciones!G8</f>
        <v>23</v>
      </c>
      <c r="F8" s="7">
        <f>SUMIFS(Facturacion!$F$4:$F$724,Facturacion!$A$4:$A$724,Detalle_Clientes!A8)</f>
        <v>53</v>
      </c>
      <c r="G8" s="5">
        <f>Detalle_Clientes!B8</f>
        <v>760047</v>
      </c>
      <c r="H8" s="8">
        <f t="shared" si="0"/>
        <v>0.49882226158590731</v>
      </c>
    </row>
    <row r="9" spans="1:8" x14ac:dyDescent="0.3">
      <c r="A9" s="6">
        <v>2024</v>
      </c>
      <c r="B9" s="6" t="s">
        <v>20</v>
      </c>
      <c r="C9" s="5">
        <f>Detalle_Clientes!N9</f>
        <v>1825549</v>
      </c>
      <c r="D9" s="6">
        <f>COUNTIF(Detalle_Clientes!B9:M9,"&gt;0")</f>
        <v>11</v>
      </c>
      <c r="E9" s="6">
        <f>Declaraciones!G9</f>
        <v>21</v>
      </c>
      <c r="F9" s="7">
        <f>SUMIFS(Facturacion!$F$4:$F$724,Facturacion!$A$4:$A$724,Detalle_Clientes!A9)</f>
        <v>63</v>
      </c>
      <c r="G9" s="5">
        <f>Detalle_Clientes!B9</f>
        <v>717025</v>
      </c>
      <c r="H9" s="8">
        <f t="shared" si="0"/>
        <v>0.39277225645545533</v>
      </c>
    </row>
    <row r="10" spans="1:8" x14ac:dyDescent="0.3">
      <c r="A10" s="6">
        <v>2024</v>
      </c>
      <c r="B10" s="6" t="s">
        <v>21</v>
      </c>
      <c r="C10" s="5">
        <f>Detalle_Clientes!N10</f>
        <v>1335820</v>
      </c>
      <c r="D10" s="6">
        <f>COUNTIF(Detalle_Clientes!B10:M10,"&gt;0")</f>
        <v>8</v>
      </c>
      <c r="E10" s="6">
        <f>Declaraciones!G10</f>
        <v>15</v>
      </c>
      <c r="F10" s="7">
        <f>SUMIFS(Facturacion!$F$4:$F$724,Facturacion!$A$4:$A$724,Detalle_Clientes!A10)</f>
        <v>46.5</v>
      </c>
      <c r="G10" s="5">
        <f>Detalle_Clientes!B10</f>
        <v>674004</v>
      </c>
      <c r="H10" s="8">
        <f t="shared" si="0"/>
        <v>0.50456199188513418</v>
      </c>
    </row>
    <row r="11" spans="1:8" x14ac:dyDescent="0.3">
      <c r="A11" s="6">
        <v>2024</v>
      </c>
      <c r="B11" s="6" t="s">
        <v>22</v>
      </c>
      <c r="C11" s="5">
        <f>Detalle_Clientes!N11</f>
        <v>1489262</v>
      </c>
      <c r="D11" s="6">
        <f>COUNTIF(Detalle_Clientes!B11:M11,"&gt;0")</f>
        <v>8</v>
      </c>
      <c r="E11" s="6">
        <f>Declaraciones!G11</f>
        <v>15</v>
      </c>
      <c r="F11" s="7">
        <f>SUMIFS(Facturacion!$F$4:$F$724,Facturacion!$A$4:$A$724,Detalle_Clientes!A11)</f>
        <v>51.75</v>
      </c>
      <c r="G11" s="5">
        <f>Detalle_Clientes!B11</f>
        <v>745706</v>
      </c>
      <c r="H11" s="8">
        <f t="shared" si="0"/>
        <v>0.50072183403591841</v>
      </c>
    </row>
    <row r="12" spans="1:8" x14ac:dyDescent="0.3">
      <c r="A12" s="6">
        <v>2024</v>
      </c>
      <c r="B12" s="6" t="s">
        <v>23</v>
      </c>
      <c r="C12" s="5">
        <f>Detalle_Clientes!N12</f>
        <v>1307138</v>
      </c>
      <c r="D12" s="6">
        <f>COUNTIF(Detalle_Clientes!B12:M12,"&gt;0")</f>
        <v>8</v>
      </c>
      <c r="E12" s="6">
        <f>Declaraciones!G12</f>
        <v>15</v>
      </c>
      <c r="F12" s="7">
        <f>SUMIFS(Facturacion!$F$4:$F$724,Facturacion!$A$4:$A$724,Detalle_Clientes!A12)</f>
        <v>45.5</v>
      </c>
      <c r="G12" s="5">
        <f>Detalle_Clientes!B12</f>
        <v>688344</v>
      </c>
      <c r="H12" s="8">
        <f t="shared" si="0"/>
        <v>0.52660392399272304</v>
      </c>
    </row>
    <row r="13" spans="1:8" x14ac:dyDescent="0.3">
      <c r="A13" s="6">
        <v>2024</v>
      </c>
      <c r="B13" s="6" t="s">
        <v>24</v>
      </c>
      <c r="C13" s="5">
        <f>Detalle_Clientes!N13</f>
        <v>1648442</v>
      </c>
      <c r="D13" s="6">
        <f>COUNTIF(Detalle_Clientes!B13:M13,"&gt;0")</f>
        <v>9</v>
      </c>
      <c r="E13" s="6">
        <f>Declaraciones!G13</f>
        <v>15</v>
      </c>
      <c r="F13" s="7">
        <f>SUMIFS(Facturacion!$F$4:$F$724,Facturacion!$A$4:$A$724,Detalle_Clientes!A13)</f>
        <v>57.25</v>
      </c>
      <c r="G13" s="5">
        <f>Detalle_Clientes!B13</f>
        <v>989495</v>
      </c>
      <c r="H13" s="8">
        <f t="shared" si="0"/>
        <v>0.60026073104179578</v>
      </c>
    </row>
    <row r="14" spans="1:8" x14ac:dyDescent="0.3">
      <c r="A14" s="6">
        <v>2024</v>
      </c>
      <c r="B14" s="6" t="s">
        <v>25</v>
      </c>
      <c r="C14" s="5">
        <f>Detalle_Clientes!N14</f>
        <v>1342990</v>
      </c>
      <c r="D14" s="6">
        <f>COUNTIF(Detalle_Clientes!B14:M14,"&gt;0")</f>
        <v>8</v>
      </c>
      <c r="E14" s="6">
        <f>Declaraciones!G14</f>
        <v>15</v>
      </c>
      <c r="F14" s="7">
        <f>SUMIFS(Facturacion!$F$4:$F$724,Facturacion!$A$4:$A$724,Detalle_Clientes!A14)</f>
        <v>46.75</v>
      </c>
      <c r="G14" s="5">
        <f>Detalle_Clientes!B14</f>
        <v>731366</v>
      </c>
      <c r="H14" s="8">
        <f t="shared" si="0"/>
        <v>0.54458037662231285</v>
      </c>
    </row>
    <row r="15" spans="1:8" x14ac:dyDescent="0.3">
      <c r="A15" s="6">
        <v>2024</v>
      </c>
      <c r="B15" s="6" t="s">
        <v>26</v>
      </c>
      <c r="C15" s="5">
        <f>Detalle_Clientes!N15</f>
        <v>1307138</v>
      </c>
      <c r="D15" s="6">
        <f>COUNTIF(Detalle_Clientes!B15:M15,"&gt;0")</f>
        <v>8</v>
      </c>
      <c r="E15" s="6">
        <f>Declaraciones!G15</f>
        <v>15</v>
      </c>
      <c r="F15" s="7">
        <f>SUMIFS(Facturacion!$F$4:$F$724,Facturacion!$A$4:$A$724,Detalle_Clientes!A15)</f>
        <v>45.5</v>
      </c>
      <c r="G15" s="5">
        <f>Detalle_Clientes!B15</f>
        <v>688344</v>
      </c>
      <c r="H15" s="8">
        <f t="shared" si="0"/>
        <v>0.52660392399272304</v>
      </c>
    </row>
    <row r="16" spans="1:8" x14ac:dyDescent="0.3">
      <c r="A16" s="6">
        <v>2024</v>
      </c>
      <c r="B16" s="6" t="s">
        <v>15</v>
      </c>
      <c r="C16" s="5">
        <f>Detalle_Clientes!N16</f>
        <v>1393182</v>
      </c>
      <c r="D16" s="6">
        <f>COUNTIF(Detalle_Clientes!B16:M16,"&gt;0")</f>
        <v>8</v>
      </c>
      <c r="E16" s="6">
        <f>Declaraciones!G16</f>
        <v>15</v>
      </c>
      <c r="F16" s="7">
        <f>SUMIFS(Facturacion!$F$4:$F$724,Facturacion!$A$4:$A$724,Detalle_Clientes!A16)</f>
        <v>48.5</v>
      </c>
      <c r="G16" s="5">
        <f>Detalle_Clientes!B16</f>
        <v>702685</v>
      </c>
      <c r="H16" s="8">
        <f t="shared" si="0"/>
        <v>0.50437415929864149</v>
      </c>
    </row>
    <row r="17" spans="1:8" x14ac:dyDescent="0.3">
      <c r="A17" s="6">
        <v>2024</v>
      </c>
      <c r="B17" s="6" t="s">
        <v>16</v>
      </c>
      <c r="C17" s="5">
        <f>Detalle_Clientes!N17</f>
        <v>1386011</v>
      </c>
      <c r="D17" s="6">
        <f>COUNTIF(Detalle_Clientes!B17:M17,"&gt;0")</f>
        <v>8</v>
      </c>
      <c r="E17" s="6">
        <f>Declaraciones!G17</f>
        <v>15</v>
      </c>
      <c r="F17" s="7">
        <f>SUMIFS(Facturacion!$F$4:$F$724,Facturacion!$A$4:$A$724,Detalle_Clientes!A17)</f>
        <v>48.25</v>
      </c>
      <c r="G17" s="5">
        <f>Detalle_Clientes!B17</f>
        <v>760047</v>
      </c>
      <c r="H17" s="8">
        <f t="shared" si="0"/>
        <v>0.5483701067307547</v>
      </c>
    </row>
    <row r="18" spans="1:8" x14ac:dyDescent="0.3">
      <c r="A18" s="6">
        <v>2024</v>
      </c>
      <c r="B18" s="6" t="s">
        <v>17</v>
      </c>
      <c r="C18" s="5">
        <f>Detalle_Clientes!N18</f>
        <v>1865702</v>
      </c>
      <c r="D18" s="6">
        <f>COUNTIF(Detalle_Clientes!B18:M18,"&gt;0")</f>
        <v>8</v>
      </c>
      <c r="E18" s="6">
        <f>Declaraciones!G18</f>
        <v>20</v>
      </c>
      <c r="F18" s="7">
        <f>SUMIFS(Facturacion!$F$4:$F$724,Facturacion!$A$4:$A$724,Detalle_Clientes!A18)</f>
        <v>64.5</v>
      </c>
      <c r="G18" s="5">
        <f>Detalle_Clientes!B18</f>
        <v>946474</v>
      </c>
      <c r="H18" s="8">
        <f t="shared" si="0"/>
        <v>0.50730180918496093</v>
      </c>
    </row>
    <row r="19" spans="1:8" x14ac:dyDescent="0.3">
      <c r="A19" s="6">
        <v>2025</v>
      </c>
      <c r="B19" s="6" t="s">
        <v>18</v>
      </c>
      <c r="C19" s="5">
        <f>Detalle_Clientes!N19</f>
        <v>1737354</v>
      </c>
      <c r="D19" s="6">
        <f>COUNTIF(Detalle_Clientes!B19:M19,"&gt;0")</f>
        <v>8</v>
      </c>
      <c r="E19" s="6">
        <f>Declaraciones!G19</f>
        <v>18</v>
      </c>
      <c r="F19" s="7">
        <f>SUMIFS(Facturacion!$F$4:$F$724,Facturacion!$A$4:$A$724,Detalle_Clientes!A19)</f>
        <v>60.5</v>
      </c>
      <c r="G19" s="5">
        <f>Detalle_Clientes!B19</f>
        <v>817409</v>
      </c>
      <c r="H19" s="8">
        <f t="shared" si="0"/>
        <v>0.47049075778453903</v>
      </c>
    </row>
    <row r="20" spans="1:8" x14ac:dyDescent="0.3">
      <c r="A20" s="6">
        <v>2025</v>
      </c>
      <c r="B20" s="6" t="s">
        <v>19</v>
      </c>
      <c r="C20" s="5">
        <f>Detalle_Clientes!N20</f>
        <v>1596821</v>
      </c>
      <c r="D20" s="6">
        <f>COUNTIF(Detalle_Clientes!B20:M20,"&gt;0")</f>
        <v>9</v>
      </c>
      <c r="E20" s="6">
        <f>Declaraciones!G20</f>
        <v>23</v>
      </c>
      <c r="F20" s="7">
        <f>SUMIFS(Facturacion!$F$4:$F$724,Facturacion!$A$4:$A$724,Detalle_Clientes!A20)</f>
        <v>55.25</v>
      </c>
      <c r="G20" s="5">
        <f>Detalle_Clientes!B20</f>
        <v>745707</v>
      </c>
      <c r="H20" s="8">
        <f t="shared" si="0"/>
        <v>0.46699473516442985</v>
      </c>
    </row>
    <row r="21" spans="1:8" x14ac:dyDescent="0.3">
      <c r="A21" s="6">
        <v>2025</v>
      </c>
      <c r="B21" s="6" t="s">
        <v>20</v>
      </c>
      <c r="C21" s="5">
        <f>Detalle_Clientes!N21</f>
        <v>1985446</v>
      </c>
      <c r="D21" s="6">
        <f>COUNTIF(Detalle_Clientes!B21:M21,"&gt;0")</f>
        <v>12</v>
      </c>
      <c r="E21" s="6">
        <f>Declaraciones!G21</f>
        <v>22</v>
      </c>
      <c r="F21" s="7">
        <f>SUMIFS(Facturacion!$F$4:$F$724,Facturacion!$A$4:$A$724,Detalle_Clientes!A21)</f>
        <v>68.25</v>
      </c>
      <c r="G21" s="5">
        <f>Detalle_Clientes!B21</f>
        <v>717025</v>
      </c>
      <c r="H21" s="8">
        <f t="shared" si="0"/>
        <v>0.36114051956084425</v>
      </c>
    </row>
    <row r="22" spans="1:8" x14ac:dyDescent="0.3">
      <c r="A22" s="6">
        <v>2025</v>
      </c>
      <c r="B22" s="6" t="s">
        <v>21</v>
      </c>
      <c r="C22" s="5">
        <f>Detalle_Clientes!N22</f>
        <v>1550926</v>
      </c>
      <c r="D22" s="6">
        <f>COUNTIF(Detalle_Clientes!B22:M22,"&gt;0")</f>
        <v>9</v>
      </c>
      <c r="E22" s="6">
        <f>Declaraciones!G22</f>
        <v>15</v>
      </c>
      <c r="F22" s="7">
        <f>SUMIFS(Facturacion!$F$4:$F$724,Facturacion!$A$4:$A$724,Detalle_Clientes!A22)</f>
        <v>53.75</v>
      </c>
      <c r="G22" s="5">
        <f>Detalle_Clientes!B22</f>
        <v>760047</v>
      </c>
      <c r="H22" s="8">
        <f t="shared" si="0"/>
        <v>0.49006013181802355</v>
      </c>
    </row>
    <row r="23" spans="1:8" x14ac:dyDescent="0.3">
      <c r="A23" s="6">
        <v>2025</v>
      </c>
      <c r="B23" s="6" t="s">
        <v>22</v>
      </c>
      <c r="C23" s="5">
        <f>Detalle_Clientes!N23</f>
        <v>1400352</v>
      </c>
      <c r="D23" s="6">
        <f>COUNTIF(Detalle_Clientes!B23:M23,"&gt;0")</f>
        <v>8</v>
      </c>
      <c r="E23" s="6">
        <f>Declaraciones!G23</f>
        <v>15</v>
      </c>
      <c r="F23" s="7">
        <f>SUMIFS(Facturacion!$F$4:$F$724,Facturacion!$A$4:$A$724,Detalle_Clientes!A23)</f>
        <v>48.75</v>
      </c>
      <c r="G23" s="5">
        <f>Detalle_Clientes!B23</f>
        <v>760047</v>
      </c>
      <c r="H23" s="8">
        <f t="shared" si="0"/>
        <v>0.54275425035990954</v>
      </c>
    </row>
    <row r="24" spans="1:8" x14ac:dyDescent="0.3">
      <c r="A24" s="6">
        <v>2025</v>
      </c>
      <c r="B24" s="6" t="s">
        <v>23</v>
      </c>
      <c r="C24" s="5">
        <f>Detalle_Clientes!N24</f>
        <v>1641272</v>
      </c>
      <c r="D24" s="6">
        <f>COUNTIF(Detalle_Clientes!B24:M24,"&gt;0")</f>
        <v>9</v>
      </c>
      <c r="E24" s="6">
        <f>Declaraciones!G24</f>
        <v>15</v>
      </c>
      <c r="F24" s="7">
        <f>SUMIFS(Facturacion!$F$4:$F$724,Facturacion!$A$4:$A$724,Detalle_Clientes!A24)</f>
        <v>57</v>
      </c>
      <c r="G24" s="5">
        <f>Detalle_Clientes!B24</f>
        <v>903452</v>
      </c>
      <c r="H24" s="8">
        <f t="shared" si="0"/>
        <v>0.55045842492895758</v>
      </c>
    </row>
    <row r="25" spans="1:8" x14ac:dyDescent="0.3">
      <c r="A25" s="6">
        <v>2025</v>
      </c>
      <c r="B25" s="6" t="s">
        <v>24</v>
      </c>
      <c r="C25" s="5">
        <f>Detalle_Clientes!N25</f>
        <v>1400352</v>
      </c>
      <c r="D25" s="6">
        <f>COUNTIF(Detalle_Clientes!B25:M25,"&gt;0")</f>
        <v>8</v>
      </c>
      <c r="E25" s="6">
        <f>Declaraciones!G25</f>
        <v>15</v>
      </c>
      <c r="F25" s="7">
        <f>SUMIFS(Facturacion!$F$4:$F$724,Facturacion!$A$4:$A$724,Detalle_Clientes!A25)</f>
        <v>48.75</v>
      </c>
      <c r="G25" s="5">
        <f>Detalle_Clientes!B25</f>
        <v>731366</v>
      </c>
      <c r="H25" s="8">
        <f t="shared" si="0"/>
        <v>0.52227297136719908</v>
      </c>
    </row>
    <row r="26" spans="1:8" x14ac:dyDescent="0.3">
      <c r="A26" s="6">
        <v>2025</v>
      </c>
      <c r="B26" s="6" t="s">
        <v>25</v>
      </c>
      <c r="C26" s="5">
        <f>Detalle_Clientes!N26</f>
        <v>1542322</v>
      </c>
      <c r="D26" s="6">
        <f>COUNTIF(Detalle_Clientes!B26:M26,"&gt;0")</f>
        <v>9</v>
      </c>
      <c r="E26" s="6">
        <f>Declaraciones!G26</f>
        <v>15</v>
      </c>
      <c r="F26" s="7">
        <f>SUMIFS(Facturacion!$F$4:$F$724,Facturacion!$A$4:$A$724,Detalle_Clientes!A26)</f>
        <v>53.25</v>
      </c>
      <c r="G26" s="5">
        <f>Detalle_Clientes!B26</f>
        <v>760047</v>
      </c>
      <c r="H26" s="8">
        <f t="shared" si="0"/>
        <v>0.49279398206081482</v>
      </c>
    </row>
    <row r="27" spans="1:8" x14ac:dyDescent="0.3">
      <c r="A27" s="6">
        <v>2025</v>
      </c>
      <c r="B27" s="6" t="s">
        <v>26</v>
      </c>
      <c r="C27" s="5">
        <f>Detalle_Clientes!N27</f>
        <v>1444089</v>
      </c>
      <c r="D27" s="6">
        <f>COUNTIF(Detalle_Clientes!B27:M27,"&gt;0")</f>
        <v>8</v>
      </c>
      <c r="E27" s="6">
        <f>Declaraciones!G27</f>
        <v>15</v>
      </c>
      <c r="F27" s="7">
        <f>SUMIFS(Facturacion!$F$4:$F$724,Facturacion!$A$4:$A$724,Detalle_Clientes!A27)</f>
        <v>50.25</v>
      </c>
      <c r="G27" s="5">
        <f>Detalle_Clientes!B27</f>
        <v>717025</v>
      </c>
      <c r="H27" s="8">
        <f t="shared" si="0"/>
        <v>0.49652410620121057</v>
      </c>
    </row>
    <row r="28" spans="1:8" x14ac:dyDescent="0.3">
      <c r="A28" s="6">
        <v>2025</v>
      </c>
      <c r="B28" s="6" t="s">
        <v>15</v>
      </c>
      <c r="C28" s="5">
        <f>Detalle_Clientes!N28</f>
        <v>1423296</v>
      </c>
      <c r="D28" s="6">
        <f>COUNTIF(Detalle_Clientes!B28:M28,"&gt;0")</f>
        <v>9</v>
      </c>
      <c r="E28" s="6">
        <f>Declaraciones!G28</f>
        <v>15</v>
      </c>
      <c r="F28" s="7">
        <f>SUMIFS(Facturacion!$F$4:$F$724,Facturacion!$A$4:$A$724,Detalle_Clientes!A28)</f>
        <v>49.5</v>
      </c>
      <c r="G28" s="5">
        <f>Detalle_Clientes!B28</f>
        <v>717025</v>
      </c>
      <c r="H28" s="8">
        <f t="shared" si="0"/>
        <v>0.50377785084761006</v>
      </c>
    </row>
    <row r="29" spans="1:8" x14ac:dyDescent="0.3">
      <c r="A29" s="6">
        <v>2025</v>
      </c>
      <c r="B29" s="6" t="s">
        <v>16</v>
      </c>
      <c r="C29" s="5">
        <f>Detalle_Clientes!N29</f>
        <v>1458430</v>
      </c>
      <c r="D29" s="6">
        <f>COUNTIF(Detalle_Clientes!B29:M29,"&gt;0")</f>
        <v>8</v>
      </c>
      <c r="E29" s="6">
        <f>Declaraciones!G29</f>
        <v>15</v>
      </c>
      <c r="F29" s="7">
        <f>SUMIFS(Facturacion!$F$4:$F$724,Facturacion!$A$4:$A$724,Detalle_Clientes!A29)</f>
        <v>50.75</v>
      </c>
      <c r="G29" s="5">
        <f>Detalle_Clientes!B29</f>
        <v>788728</v>
      </c>
      <c r="H29" s="8">
        <f t="shared" si="0"/>
        <v>0.54080620941697577</v>
      </c>
    </row>
    <row r="30" spans="1:8" x14ac:dyDescent="0.3">
      <c r="A30" s="6">
        <v>2025</v>
      </c>
      <c r="B30" s="6" t="s">
        <v>17</v>
      </c>
      <c r="C30" s="5">
        <f>Detalle_Clientes!N30</f>
        <v>1986163</v>
      </c>
      <c r="D30" s="6">
        <f>COUNTIF(Detalle_Clientes!B30:M30,"&gt;0")</f>
        <v>8</v>
      </c>
      <c r="E30" s="6">
        <f>Declaraciones!G30</f>
        <v>20</v>
      </c>
      <c r="F30" s="7">
        <f>SUMIFS(Facturacion!$F$4:$F$724,Facturacion!$A$4:$A$724,Detalle_Clientes!A30)</f>
        <v>69</v>
      </c>
      <c r="G30" s="5">
        <f>Detalle_Clientes!B30</f>
        <v>1046857</v>
      </c>
      <c r="H30" s="8">
        <f t="shared" si="0"/>
        <v>0.52707506886393518</v>
      </c>
    </row>
    <row r="31" spans="1:8" x14ac:dyDescent="0.3">
      <c r="A31" s="6">
        <v>2026</v>
      </c>
      <c r="B31" s="6" t="s">
        <v>18</v>
      </c>
      <c r="C31" s="5">
        <f>Detalle_Clientes!N31</f>
        <v>1752410</v>
      </c>
      <c r="D31" s="6">
        <f>COUNTIF(Detalle_Clientes!B31:M31,"&gt;0")</f>
        <v>8</v>
      </c>
      <c r="E31" s="6">
        <f>Declaraciones!G31</f>
        <v>18</v>
      </c>
      <c r="F31" s="7">
        <f>SUMIFS(Facturacion!$F$4:$F$724,Facturacion!$A$4:$A$724,Detalle_Clientes!A31)</f>
        <v>61</v>
      </c>
      <c r="G31" s="5">
        <f>Detalle_Clientes!B31</f>
        <v>817409</v>
      </c>
      <c r="H31" s="8">
        <f t="shared" si="0"/>
        <v>0.46644849093534047</v>
      </c>
    </row>
    <row r="32" spans="1:8" x14ac:dyDescent="0.3">
      <c r="A32" s="6">
        <v>2026</v>
      </c>
      <c r="B32" s="6" t="s">
        <v>19</v>
      </c>
      <c r="C32" s="5">
        <f>Detalle_Clientes!N32</f>
        <v>1690750</v>
      </c>
      <c r="D32" s="6">
        <f>COUNTIF(Detalle_Clientes!B32:M32,"&gt;0")</f>
        <v>9</v>
      </c>
      <c r="E32" s="6">
        <f>Declaraciones!G32</f>
        <v>23</v>
      </c>
      <c r="F32" s="7">
        <f>SUMIFS(Facturacion!$F$4:$F$724,Facturacion!$A$4:$A$724,Detalle_Clientes!A32)</f>
        <v>58.75</v>
      </c>
      <c r="G32" s="5">
        <f>Detalle_Clientes!B32</f>
        <v>817409</v>
      </c>
      <c r="H32" s="8">
        <f t="shared" si="0"/>
        <v>0.48345941150377053</v>
      </c>
    </row>
    <row r="33" spans="1:8" x14ac:dyDescent="0.3">
      <c r="A33" s="6">
        <v>2026</v>
      </c>
      <c r="B33" s="6" t="s">
        <v>20</v>
      </c>
      <c r="C33" s="5">
        <f>Detalle_Clientes!N33</f>
        <v>1953538</v>
      </c>
      <c r="D33" s="6">
        <f>COUNTIF(Detalle_Clientes!B33:M33,"&gt;0")</f>
        <v>12</v>
      </c>
      <c r="E33" s="6">
        <f>Declaraciones!G33</f>
        <v>22</v>
      </c>
      <c r="F33" s="7">
        <f>SUMIFS(Facturacion!$F$4:$F$724,Facturacion!$A$4:$A$724,Detalle_Clientes!A33)</f>
        <v>67.5</v>
      </c>
      <c r="G33" s="5">
        <f>Detalle_Clientes!B33</f>
        <v>745706</v>
      </c>
      <c r="H33" s="8">
        <f t="shared" si="0"/>
        <v>0.38172075485606116</v>
      </c>
    </row>
    <row r="34" spans="1:8" x14ac:dyDescent="0.3">
      <c r="A34" s="6">
        <v>2026</v>
      </c>
      <c r="B34" s="6" t="s">
        <v>21</v>
      </c>
      <c r="C34" s="5">
        <f>Detalle_Clientes!N34</f>
        <v>1571719</v>
      </c>
      <c r="D34" s="6">
        <f>COUNTIF(Detalle_Clientes!B34:M34,"&gt;0")</f>
        <v>9</v>
      </c>
      <c r="E34" s="6">
        <f>Declaraciones!G34</f>
        <v>15</v>
      </c>
      <c r="F34" s="7">
        <f>SUMIFS(Facturacion!$F$4:$F$724,Facturacion!$A$4:$A$724,Detalle_Clientes!A34)</f>
        <v>54.25</v>
      </c>
      <c r="G34" s="5">
        <f>Detalle_Clientes!B34</f>
        <v>731366</v>
      </c>
      <c r="H34" s="8">
        <f t="shared" si="0"/>
        <v>0.46532872606362841</v>
      </c>
    </row>
    <row r="35" spans="1:8" x14ac:dyDescent="0.3">
      <c r="A35" s="6">
        <v>2026</v>
      </c>
      <c r="B35" s="6" t="s">
        <v>22</v>
      </c>
      <c r="C35" s="5">
        <f>Detalle_Clientes!N35</f>
        <v>1436202</v>
      </c>
      <c r="D35" s="6">
        <f>COUNTIF(Detalle_Clientes!B35:M35,"&gt;0")</f>
        <v>8</v>
      </c>
      <c r="E35" s="6">
        <f>Declaraciones!G35</f>
        <v>15</v>
      </c>
      <c r="F35" s="7">
        <f>SUMIFS(Facturacion!$F$4:$F$724,Facturacion!$A$4:$A$724,Detalle_Clientes!A35)</f>
        <v>50</v>
      </c>
      <c r="G35" s="5">
        <f>Detalle_Clientes!B35</f>
        <v>760047</v>
      </c>
      <c r="H35" s="8">
        <f t="shared" si="0"/>
        <v>0.52920619801392843</v>
      </c>
    </row>
    <row r="36" spans="1:8" x14ac:dyDescent="0.3">
      <c r="A36" s="6">
        <v>2026</v>
      </c>
      <c r="B36" s="6" t="s">
        <v>23</v>
      </c>
      <c r="C36" s="5">
        <f>Detalle_Clientes!N36</f>
        <v>1837736</v>
      </c>
      <c r="D36" s="6">
        <f>COUNTIF(Detalle_Clientes!B36:M36,"&gt;0")</f>
        <v>8</v>
      </c>
      <c r="E36" s="6">
        <f>Declaraciones!G36</f>
        <v>15</v>
      </c>
      <c r="F36" s="7">
        <f>SUMIFS(Facturacion!$F$4:$F$724,Facturacion!$A$4:$A$724,Detalle_Clientes!A36)</f>
        <v>64</v>
      </c>
      <c r="G36" s="5">
        <f>Detalle_Clientes!B36</f>
        <v>1147240</v>
      </c>
      <c r="H36" s="8">
        <f t="shared" si="0"/>
        <v>0.62426812121001063</v>
      </c>
    </row>
    <row r="37" spans="1:8" x14ac:dyDescent="0.3">
      <c r="A37" s="6">
        <v>2026</v>
      </c>
      <c r="B37" s="6" t="s">
        <v>24</v>
      </c>
      <c r="C37" s="5">
        <f>Detalle_Clientes!N37</f>
        <v>1450543</v>
      </c>
      <c r="D37" s="6">
        <f>COUNTIF(Detalle_Clientes!B37:M37,"&gt;0")</f>
        <v>8</v>
      </c>
      <c r="E37" s="6">
        <f>Declaraciones!G37</f>
        <v>15</v>
      </c>
      <c r="F37" s="7">
        <f>SUMIFS(Facturacion!$F$4:$F$724,Facturacion!$A$4:$A$724,Detalle_Clientes!A37)</f>
        <v>50.5</v>
      </c>
      <c r="G37" s="5">
        <f>Detalle_Clientes!B37</f>
        <v>745706</v>
      </c>
      <c r="H37" s="8">
        <f t="shared" si="0"/>
        <v>0.51408748310115593</v>
      </c>
    </row>
    <row r="38" spans="1:8" x14ac:dyDescent="0.3">
      <c r="A38" s="6">
        <v>2026</v>
      </c>
      <c r="B38" s="6" t="s">
        <v>25</v>
      </c>
      <c r="C38" s="5">
        <f>Detalle_Clientes!N38</f>
        <v>1528700</v>
      </c>
      <c r="D38" s="6">
        <f>COUNTIF(Detalle_Clientes!B38:M38,"&gt;0")</f>
        <v>9</v>
      </c>
      <c r="E38" s="6">
        <f>Declaraciones!G38</f>
        <v>15</v>
      </c>
      <c r="F38" s="7">
        <f>SUMIFS(Facturacion!$F$4:$F$724,Facturacion!$A$4:$A$724,Detalle_Clientes!A38)</f>
        <v>53</v>
      </c>
      <c r="G38" s="5">
        <f>Detalle_Clientes!B38</f>
        <v>788728</v>
      </c>
      <c r="H38" s="8">
        <f t="shared" si="0"/>
        <v>0.51594688297246027</v>
      </c>
    </row>
    <row r="39" spans="1:8" x14ac:dyDescent="0.3">
      <c r="A39" s="6">
        <v>2026</v>
      </c>
      <c r="B39" s="6" t="s">
        <v>26</v>
      </c>
      <c r="C39" s="5">
        <f>Detalle_Clientes!N39</f>
        <v>1540888</v>
      </c>
      <c r="D39" s="6">
        <f>COUNTIF(Detalle_Clientes!B39:M39,"&gt;0")</f>
        <v>9</v>
      </c>
      <c r="E39" s="6">
        <f>Declaraciones!G39</f>
        <v>15</v>
      </c>
      <c r="F39" s="7">
        <f>SUMIFS(Facturacion!$F$4:$F$724,Facturacion!$A$4:$A$724,Detalle_Clientes!A39)</f>
        <v>53.5</v>
      </c>
      <c r="G39" s="5">
        <f>Detalle_Clientes!B39</f>
        <v>788728</v>
      </c>
      <c r="H39" s="8">
        <f t="shared" si="0"/>
        <v>0.5118658851259793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39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baseColWidth="10" defaultColWidth="8.6640625" defaultRowHeight="14.4" x14ac:dyDescent="0.3"/>
  <cols>
    <col min="1" max="1" width="12" customWidth="1"/>
    <col min="2" max="14" width="16" customWidth="1"/>
  </cols>
  <sheetData>
    <row r="1" spans="1:14" ht="16.8" x14ac:dyDescent="0.3">
      <c r="A1" s="1" t="s">
        <v>27</v>
      </c>
    </row>
    <row r="2" spans="1:14" x14ac:dyDescent="0.3">
      <c r="A2" s="9" t="s">
        <v>28</v>
      </c>
      <c r="B2" s="10" t="s">
        <v>29</v>
      </c>
      <c r="C2" s="10" t="s">
        <v>30</v>
      </c>
      <c r="D2" s="10" t="s">
        <v>31</v>
      </c>
      <c r="E2" s="10" t="s">
        <v>32</v>
      </c>
      <c r="F2" s="10" t="s">
        <v>33</v>
      </c>
      <c r="G2" s="10" t="s">
        <v>34</v>
      </c>
      <c r="H2" s="10" t="s">
        <v>35</v>
      </c>
      <c r="I2" s="10" t="s">
        <v>36</v>
      </c>
      <c r="J2" s="10" t="s">
        <v>37</v>
      </c>
      <c r="K2" s="10" t="s">
        <v>38</v>
      </c>
      <c r="L2" s="10" t="s">
        <v>39</v>
      </c>
      <c r="M2" s="10" t="s">
        <v>40</v>
      </c>
    </row>
    <row r="3" spans="1:14" ht="48" customHeight="1" x14ac:dyDescent="0.3">
      <c r="A3" s="2" t="s">
        <v>1</v>
      </c>
      <c r="B3" s="2" t="s">
        <v>41</v>
      </c>
      <c r="C3" s="2" t="s">
        <v>42</v>
      </c>
      <c r="D3" s="2" t="s">
        <v>43</v>
      </c>
      <c r="E3" s="2" t="s">
        <v>44</v>
      </c>
      <c r="F3" s="2" t="s">
        <v>45</v>
      </c>
      <c r="G3" s="2" t="s">
        <v>46</v>
      </c>
      <c r="H3" s="2" t="s">
        <v>47</v>
      </c>
      <c r="I3" s="2" t="s">
        <v>48</v>
      </c>
      <c r="J3" s="2" t="s">
        <v>49</v>
      </c>
      <c r="K3" s="2" t="s">
        <v>50</v>
      </c>
      <c r="L3" s="2" t="s">
        <v>51</v>
      </c>
      <c r="M3" s="2" t="s">
        <v>52</v>
      </c>
      <c r="N3" s="2" t="s">
        <v>53</v>
      </c>
    </row>
    <row r="4" spans="1:14" x14ac:dyDescent="0.3">
      <c r="A4" s="4">
        <v>45200</v>
      </c>
      <c r="B4" s="5">
        <f>SUMIFS(Facturacion!$I$4:$I$724,Facturacion!$A$4:$A$724,$A4,Facturacion!$B$4:$B$724,B$2)</f>
        <v>688344</v>
      </c>
      <c r="C4" s="5">
        <f>SUMIFS(Facturacion!$I$4:$I$724,Facturacion!$A$4:$A$724,$A4,Facturacion!$B$4:$B$724,C$2)</f>
        <v>107554</v>
      </c>
      <c r="D4" s="5">
        <f>SUMIFS(Facturacion!$I$4:$I$724,Facturacion!$A$4:$A$724,$A4,Facturacion!$B$4:$B$724,D$2)</f>
        <v>23662</v>
      </c>
      <c r="E4" s="5">
        <f>SUMIFS(Facturacion!$I$4:$I$724,Facturacion!$A$4:$A$724,$A4,Facturacion!$B$4:$B$724,E$2)</f>
        <v>21511</v>
      </c>
      <c r="F4" s="5">
        <f>SUMIFS(Facturacion!$I$4:$I$724,Facturacion!$A$4:$A$724,$A4,Facturacion!$B$4:$B$724,F$2)</f>
        <v>215108</v>
      </c>
      <c r="G4" s="5">
        <f>SUMIFS(Facturacion!$I$4:$I$724,Facturacion!$A$4:$A$724,$A4,Facturacion!$B$4:$B$724,G$2)</f>
        <v>0</v>
      </c>
      <c r="H4" s="5">
        <f>SUMIFS(Facturacion!$I$4:$I$724,Facturacion!$A$4:$A$724,$A4,Facturacion!$B$4:$B$724,H$2)</f>
        <v>21511</v>
      </c>
      <c r="I4" s="5">
        <f>SUMIFS(Facturacion!$I$4:$I$724,Facturacion!$A$4:$A$724,$A4,Facturacion!$B$4:$B$724,I$2)</f>
        <v>28681</v>
      </c>
      <c r="J4" s="5">
        <f>SUMIFS(Facturacion!$I$4:$I$724,Facturacion!$A$4:$A$724,$A4,Facturacion!$B$4:$B$724,J$2)</f>
        <v>0</v>
      </c>
      <c r="K4" s="5">
        <f>SUMIFS(Facturacion!$I$4:$I$724,Facturacion!$A$4:$A$724,$A4,Facturacion!$B$4:$B$724,K$2)</f>
        <v>222278</v>
      </c>
      <c r="L4" s="5">
        <f>SUMIFS(Facturacion!$I$4:$I$724,Facturacion!$A$4:$A$724,$A4,Facturacion!$B$4:$B$724,L$2)</f>
        <v>0</v>
      </c>
      <c r="M4" s="5">
        <f>SUMIFS(Facturacion!$I$4:$I$724,Facturacion!$A$4:$A$724,$A4,Facturacion!$B$4:$B$724,M$2)</f>
        <v>0</v>
      </c>
      <c r="N4" s="11">
        <f t="shared" ref="N4:N39" si="0">SUM(B4:M4)</f>
        <v>1328649</v>
      </c>
    </row>
    <row r="5" spans="1:14" x14ac:dyDescent="0.3">
      <c r="A5" s="4">
        <v>45231</v>
      </c>
      <c r="B5" s="5">
        <f>SUMIFS(Facturacion!$I$4:$I$724,Facturacion!$A$4:$A$724,$A5,Facturacion!$B$4:$B$724,B$2)</f>
        <v>702685</v>
      </c>
      <c r="C5" s="5">
        <f>SUMIFS(Facturacion!$I$4:$I$724,Facturacion!$A$4:$A$724,$A5,Facturacion!$B$4:$B$724,C$2)</f>
        <v>114724</v>
      </c>
      <c r="D5" s="5">
        <f>SUMIFS(Facturacion!$I$4:$I$724,Facturacion!$A$4:$A$724,$A5,Facturacion!$B$4:$B$724,D$2)</f>
        <v>23662</v>
      </c>
      <c r="E5" s="5">
        <f>SUMIFS(Facturacion!$I$4:$I$724,Facturacion!$A$4:$A$724,$A5,Facturacion!$B$4:$B$724,E$2)</f>
        <v>21511</v>
      </c>
      <c r="F5" s="5">
        <f>SUMIFS(Facturacion!$I$4:$I$724,Facturacion!$A$4:$A$724,$A5,Facturacion!$B$4:$B$724,F$2)</f>
        <v>186427</v>
      </c>
      <c r="G5" s="5">
        <f>SUMIFS(Facturacion!$I$4:$I$724,Facturacion!$A$4:$A$724,$A5,Facturacion!$B$4:$B$724,G$2)</f>
        <v>0</v>
      </c>
      <c r="H5" s="5">
        <f>SUMIFS(Facturacion!$I$4:$I$724,Facturacion!$A$4:$A$724,$A5,Facturacion!$B$4:$B$724,H$2)</f>
        <v>21511</v>
      </c>
      <c r="I5" s="5">
        <f>SUMIFS(Facturacion!$I$4:$I$724,Facturacion!$A$4:$A$724,$A5,Facturacion!$B$4:$B$724,I$2)</f>
        <v>28681</v>
      </c>
      <c r="J5" s="5">
        <f>SUMIFS(Facturacion!$I$4:$I$724,Facturacion!$A$4:$A$724,$A5,Facturacion!$B$4:$B$724,J$2)</f>
        <v>0</v>
      </c>
      <c r="K5" s="5">
        <f>SUMIFS(Facturacion!$I$4:$I$724,Facturacion!$A$4:$A$724,$A5,Facturacion!$B$4:$B$724,K$2)</f>
        <v>207938</v>
      </c>
      <c r="L5" s="5">
        <f>SUMIFS(Facturacion!$I$4:$I$724,Facturacion!$A$4:$A$724,$A5,Facturacion!$B$4:$B$724,L$2)</f>
        <v>0</v>
      </c>
      <c r="M5" s="5">
        <f>SUMIFS(Facturacion!$I$4:$I$724,Facturacion!$A$4:$A$724,$A5,Facturacion!$B$4:$B$724,M$2)</f>
        <v>0</v>
      </c>
      <c r="N5" s="11">
        <f t="shared" si="0"/>
        <v>1307139</v>
      </c>
    </row>
    <row r="6" spans="1:14" x14ac:dyDescent="0.3">
      <c r="A6" s="4">
        <v>45261</v>
      </c>
      <c r="B6" s="5">
        <f>SUMIFS(Facturacion!$I$4:$I$724,Facturacion!$A$4:$A$724,$A6,Facturacion!$B$4:$B$724,B$2)</f>
        <v>989495</v>
      </c>
      <c r="C6" s="5">
        <f>SUMIFS(Facturacion!$I$4:$I$724,Facturacion!$A$4:$A$724,$A6,Facturacion!$B$4:$B$724,C$2)</f>
        <v>121894</v>
      </c>
      <c r="D6" s="5">
        <f>SUMIFS(Facturacion!$I$4:$I$724,Facturacion!$A$4:$A$724,$A6,Facturacion!$B$4:$B$724,D$2)</f>
        <v>118310</v>
      </c>
      <c r="E6" s="5">
        <f>SUMIFS(Facturacion!$I$4:$I$724,Facturacion!$A$4:$A$724,$A6,Facturacion!$B$4:$B$724,E$2)</f>
        <v>64533</v>
      </c>
      <c r="F6" s="5">
        <f>SUMIFS(Facturacion!$I$4:$I$724,Facturacion!$A$4:$A$724,$A6,Facturacion!$B$4:$B$724,F$2)</f>
        <v>229449</v>
      </c>
      <c r="G6" s="5">
        <f>SUMIFS(Facturacion!$I$4:$I$724,Facturacion!$A$4:$A$724,$A6,Facturacion!$B$4:$B$724,G$2)</f>
        <v>0</v>
      </c>
      <c r="H6" s="5">
        <f>SUMIFS(Facturacion!$I$4:$I$724,Facturacion!$A$4:$A$724,$A6,Facturacion!$B$4:$B$724,H$2)</f>
        <v>21511</v>
      </c>
      <c r="I6" s="5">
        <f>SUMIFS(Facturacion!$I$4:$I$724,Facturacion!$A$4:$A$724,$A6,Facturacion!$B$4:$B$724,I$2)</f>
        <v>28681</v>
      </c>
      <c r="J6" s="5">
        <f>SUMIFS(Facturacion!$I$4:$I$724,Facturacion!$A$4:$A$724,$A6,Facturacion!$B$4:$B$724,J$2)</f>
        <v>0</v>
      </c>
      <c r="K6" s="5">
        <f>SUMIFS(Facturacion!$I$4:$I$724,Facturacion!$A$4:$A$724,$A6,Facturacion!$B$4:$B$724,K$2)</f>
        <v>265300</v>
      </c>
      <c r="L6" s="5">
        <f>SUMIFS(Facturacion!$I$4:$I$724,Facturacion!$A$4:$A$724,$A6,Facturacion!$B$4:$B$724,L$2)</f>
        <v>0</v>
      </c>
      <c r="M6" s="5">
        <f>SUMIFS(Facturacion!$I$4:$I$724,Facturacion!$A$4:$A$724,$A6,Facturacion!$B$4:$B$724,M$2)</f>
        <v>0</v>
      </c>
      <c r="N6" s="11">
        <f t="shared" si="0"/>
        <v>1839173</v>
      </c>
    </row>
    <row r="7" spans="1:14" x14ac:dyDescent="0.3">
      <c r="A7" s="4">
        <v>45292</v>
      </c>
      <c r="B7" s="5">
        <f>SUMIFS(Facturacion!$I$4:$I$724,Facturacion!$A$4:$A$724,$A7,Facturacion!$B$4:$B$724,B$2)</f>
        <v>774387</v>
      </c>
      <c r="C7" s="5">
        <f>SUMIFS(Facturacion!$I$4:$I$724,Facturacion!$A$4:$A$724,$A7,Facturacion!$B$4:$B$724,C$2)</f>
        <v>114724</v>
      </c>
      <c r="D7" s="5">
        <f>SUMIFS(Facturacion!$I$4:$I$724,Facturacion!$A$4:$A$724,$A7,Facturacion!$B$4:$B$724,D$2)</f>
        <v>23662</v>
      </c>
      <c r="E7" s="5">
        <f>SUMIFS(Facturacion!$I$4:$I$724,Facturacion!$A$4:$A$724,$A7,Facturacion!$B$4:$B$724,E$2)</f>
        <v>21511</v>
      </c>
      <c r="F7" s="5">
        <f>SUMIFS(Facturacion!$I$4:$I$724,Facturacion!$A$4:$A$724,$A7,Facturacion!$B$4:$B$724,F$2)</f>
        <v>430215</v>
      </c>
      <c r="G7" s="5">
        <f>SUMIFS(Facturacion!$I$4:$I$724,Facturacion!$A$4:$A$724,$A7,Facturacion!$B$4:$B$724,G$2)</f>
        <v>0</v>
      </c>
      <c r="H7" s="5">
        <f>SUMIFS(Facturacion!$I$4:$I$724,Facturacion!$A$4:$A$724,$A7,Facturacion!$B$4:$B$724,H$2)</f>
        <v>21511</v>
      </c>
      <c r="I7" s="5">
        <f>SUMIFS(Facturacion!$I$4:$I$724,Facturacion!$A$4:$A$724,$A7,Facturacion!$B$4:$B$724,I$2)</f>
        <v>28681</v>
      </c>
      <c r="J7" s="5">
        <f>SUMIFS(Facturacion!$I$4:$I$724,Facturacion!$A$4:$A$724,$A7,Facturacion!$B$4:$B$724,J$2)</f>
        <v>0</v>
      </c>
      <c r="K7" s="5">
        <f>SUMIFS(Facturacion!$I$4:$I$724,Facturacion!$A$4:$A$724,$A7,Facturacion!$B$4:$B$724,K$2)</f>
        <v>293981</v>
      </c>
      <c r="L7" s="5">
        <f>SUMIFS(Facturacion!$I$4:$I$724,Facturacion!$A$4:$A$724,$A7,Facturacion!$B$4:$B$724,L$2)</f>
        <v>0</v>
      </c>
      <c r="M7" s="5">
        <f>SUMIFS(Facturacion!$I$4:$I$724,Facturacion!$A$4:$A$724,$A7,Facturacion!$B$4:$B$724,M$2)</f>
        <v>0</v>
      </c>
      <c r="N7" s="11">
        <f t="shared" si="0"/>
        <v>1708672</v>
      </c>
    </row>
    <row r="8" spans="1:14" x14ac:dyDescent="0.3">
      <c r="A8" s="4">
        <v>45323</v>
      </c>
      <c r="B8" s="5">
        <f>SUMIFS(Facturacion!$I$4:$I$724,Facturacion!$A$4:$A$724,$A8,Facturacion!$B$4:$B$724,B$2)</f>
        <v>760047</v>
      </c>
      <c r="C8" s="5">
        <f>SUMIFS(Facturacion!$I$4:$I$724,Facturacion!$A$4:$A$724,$A8,Facturacion!$B$4:$B$724,C$2)</f>
        <v>129065</v>
      </c>
      <c r="D8" s="5">
        <f>SUMIFS(Facturacion!$I$4:$I$724,Facturacion!$A$4:$A$724,$A8,Facturacion!$B$4:$B$724,D$2)</f>
        <v>39437</v>
      </c>
      <c r="E8" s="5">
        <f>SUMIFS(Facturacion!$I$4:$I$724,Facturacion!$A$4:$A$724,$A8,Facturacion!$B$4:$B$724,E$2)</f>
        <v>35852</v>
      </c>
      <c r="F8" s="5">
        <f>SUMIFS(Facturacion!$I$4:$I$724,Facturacion!$A$4:$A$724,$A8,Facturacion!$B$4:$B$724,F$2)</f>
        <v>215108</v>
      </c>
      <c r="G8" s="5">
        <f>SUMIFS(Facturacion!$I$4:$I$724,Facturacion!$A$4:$A$724,$A8,Facturacion!$B$4:$B$724,G$2)</f>
        <v>0</v>
      </c>
      <c r="H8" s="5">
        <f>SUMIFS(Facturacion!$I$4:$I$724,Facturacion!$A$4:$A$724,$A8,Facturacion!$B$4:$B$724,H$2)</f>
        <v>35852</v>
      </c>
      <c r="I8" s="5">
        <f>SUMIFS(Facturacion!$I$4:$I$724,Facturacion!$A$4:$A$724,$A8,Facturacion!$B$4:$B$724,I$2)</f>
        <v>43022</v>
      </c>
      <c r="J8" s="5">
        <f>SUMIFS(Facturacion!$I$4:$I$724,Facturacion!$A$4:$A$724,$A8,Facturacion!$B$4:$B$724,J$2)</f>
        <v>0</v>
      </c>
      <c r="K8" s="5">
        <f>SUMIFS(Facturacion!$I$4:$I$724,Facturacion!$A$4:$A$724,$A8,Facturacion!$B$4:$B$724,K$2)</f>
        <v>236619</v>
      </c>
      <c r="L8" s="5">
        <f>SUMIFS(Facturacion!$I$4:$I$724,Facturacion!$A$4:$A$724,$A8,Facturacion!$B$4:$B$724,L$2)</f>
        <v>28681</v>
      </c>
      <c r="M8" s="5">
        <f>SUMIFS(Facturacion!$I$4:$I$724,Facturacion!$A$4:$A$724,$A8,Facturacion!$B$4:$B$724,M$2)</f>
        <v>0</v>
      </c>
      <c r="N8" s="11">
        <f t="shared" si="0"/>
        <v>1523683</v>
      </c>
    </row>
    <row r="9" spans="1:14" x14ac:dyDescent="0.3">
      <c r="A9" s="4">
        <v>45352</v>
      </c>
      <c r="B9" s="5">
        <f>SUMIFS(Facturacion!$I$4:$I$724,Facturacion!$A$4:$A$724,$A9,Facturacion!$B$4:$B$724,B$2)</f>
        <v>717025</v>
      </c>
      <c r="C9" s="5">
        <f>SUMIFS(Facturacion!$I$4:$I$724,Facturacion!$A$4:$A$724,$A9,Facturacion!$B$4:$B$724,C$2)</f>
        <v>337002</v>
      </c>
      <c r="D9" s="5">
        <f>SUMIFS(Facturacion!$I$4:$I$724,Facturacion!$A$4:$A$724,$A9,Facturacion!$B$4:$B$724,D$2)</f>
        <v>23662</v>
      </c>
      <c r="E9" s="5">
        <f>SUMIFS(Facturacion!$I$4:$I$724,Facturacion!$A$4:$A$724,$A9,Facturacion!$B$4:$B$724,E$2)</f>
        <v>21511</v>
      </c>
      <c r="F9" s="5">
        <f>SUMIFS(Facturacion!$I$4:$I$724,Facturacion!$A$4:$A$724,$A9,Facturacion!$B$4:$B$724,F$2)</f>
        <v>172086</v>
      </c>
      <c r="G9" s="5">
        <f>SUMIFS(Facturacion!$I$4:$I$724,Facturacion!$A$4:$A$724,$A9,Facturacion!$B$4:$B$724,G$2)</f>
        <v>49475</v>
      </c>
      <c r="H9" s="5">
        <f>SUMIFS(Facturacion!$I$4:$I$724,Facturacion!$A$4:$A$724,$A9,Facturacion!$B$4:$B$724,H$2)</f>
        <v>64533</v>
      </c>
      <c r="I9" s="5">
        <f>SUMIFS(Facturacion!$I$4:$I$724,Facturacion!$A$4:$A$724,$A9,Facturacion!$B$4:$B$724,I$2)</f>
        <v>78873</v>
      </c>
      <c r="J9" s="5">
        <f>SUMIFS(Facturacion!$I$4:$I$724,Facturacion!$A$4:$A$724,$A9,Facturacion!$B$4:$B$724,J$2)</f>
        <v>110422</v>
      </c>
      <c r="K9" s="5">
        <f>SUMIFS(Facturacion!$I$4:$I$724,Facturacion!$A$4:$A$724,$A9,Facturacion!$B$4:$B$724,K$2)</f>
        <v>207938</v>
      </c>
      <c r="L9" s="5">
        <f>SUMIFS(Facturacion!$I$4:$I$724,Facturacion!$A$4:$A$724,$A9,Facturacion!$B$4:$B$724,L$2)</f>
        <v>43022</v>
      </c>
      <c r="M9" s="5">
        <f>SUMIFS(Facturacion!$I$4:$I$724,Facturacion!$A$4:$A$724,$A9,Facturacion!$B$4:$B$724,M$2)</f>
        <v>0</v>
      </c>
      <c r="N9" s="11">
        <f t="shared" si="0"/>
        <v>1825549</v>
      </c>
    </row>
    <row r="10" spans="1:14" x14ac:dyDescent="0.3">
      <c r="A10" s="4">
        <v>45383</v>
      </c>
      <c r="B10" s="5">
        <f>SUMIFS(Facturacion!$I$4:$I$724,Facturacion!$A$4:$A$724,$A10,Facturacion!$B$4:$B$724,B$2)</f>
        <v>674004</v>
      </c>
      <c r="C10" s="5">
        <f>SUMIFS(Facturacion!$I$4:$I$724,Facturacion!$A$4:$A$724,$A10,Facturacion!$B$4:$B$724,C$2)</f>
        <v>114724</v>
      </c>
      <c r="D10" s="5">
        <f>SUMIFS(Facturacion!$I$4:$I$724,Facturacion!$A$4:$A$724,$A10,Facturacion!$B$4:$B$724,D$2)</f>
        <v>23662</v>
      </c>
      <c r="E10" s="5">
        <f>SUMIFS(Facturacion!$I$4:$I$724,Facturacion!$A$4:$A$724,$A10,Facturacion!$B$4:$B$724,E$2)</f>
        <v>21511</v>
      </c>
      <c r="F10" s="5">
        <f>SUMIFS(Facturacion!$I$4:$I$724,Facturacion!$A$4:$A$724,$A10,Facturacion!$B$4:$B$724,F$2)</f>
        <v>186427</v>
      </c>
      <c r="G10" s="5">
        <f>SUMIFS(Facturacion!$I$4:$I$724,Facturacion!$A$4:$A$724,$A10,Facturacion!$B$4:$B$724,G$2)</f>
        <v>0</v>
      </c>
      <c r="H10" s="5">
        <f>SUMIFS(Facturacion!$I$4:$I$724,Facturacion!$A$4:$A$724,$A10,Facturacion!$B$4:$B$724,H$2)</f>
        <v>21511</v>
      </c>
      <c r="I10" s="5">
        <f>SUMIFS(Facturacion!$I$4:$I$724,Facturacion!$A$4:$A$724,$A10,Facturacion!$B$4:$B$724,I$2)</f>
        <v>28681</v>
      </c>
      <c r="J10" s="5">
        <f>SUMIFS(Facturacion!$I$4:$I$724,Facturacion!$A$4:$A$724,$A10,Facturacion!$B$4:$B$724,J$2)</f>
        <v>0</v>
      </c>
      <c r="K10" s="5">
        <f>SUMIFS(Facturacion!$I$4:$I$724,Facturacion!$A$4:$A$724,$A10,Facturacion!$B$4:$B$724,K$2)</f>
        <v>265300</v>
      </c>
      <c r="L10" s="5">
        <f>SUMIFS(Facturacion!$I$4:$I$724,Facturacion!$A$4:$A$724,$A10,Facturacion!$B$4:$B$724,L$2)</f>
        <v>0</v>
      </c>
      <c r="M10" s="5">
        <f>SUMIFS(Facturacion!$I$4:$I$724,Facturacion!$A$4:$A$724,$A10,Facturacion!$B$4:$B$724,M$2)</f>
        <v>0</v>
      </c>
      <c r="N10" s="11">
        <f t="shared" si="0"/>
        <v>1335820</v>
      </c>
    </row>
    <row r="11" spans="1:14" x14ac:dyDescent="0.3">
      <c r="A11" s="4">
        <v>45413</v>
      </c>
      <c r="B11" s="5">
        <f>SUMIFS(Facturacion!$I$4:$I$724,Facturacion!$A$4:$A$724,$A11,Facturacion!$B$4:$B$724,B$2)</f>
        <v>745706</v>
      </c>
      <c r="C11" s="5">
        <f>SUMIFS(Facturacion!$I$4:$I$724,Facturacion!$A$4:$A$724,$A11,Facturacion!$B$4:$B$724,C$2)</f>
        <v>121894</v>
      </c>
      <c r="D11" s="5">
        <f>SUMIFS(Facturacion!$I$4:$I$724,Facturacion!$A$4:$A$724,$A11,Facturacion!$B$4:$B$724,D$2)</f>
        <v>55211</v>
      </c>
      <c r="E11" s="5">
        <f>SUMIFS(Facturacion!$I$4:$I$724,Facturacion!$A$4:$A$724,$A11,Facturacion!$B$4:$B$724,E$2)</f>
        <v>21511</v>
      </c>
      <c r="F11" s="5">
        <f>SUMIFS(Facturacion!$I$4:$I$724,Facturacion!$A$4:$A$724,$A11,Facturacion!$B$4:$B$724,F$2)</f>
        <v>186427</v>
      </c>
      <c r="G11" s="5">
        <f>SUMIFS(Facturacion!$I$4:$I$724,Facturacion!$A$4:$A$724,$A11,Facturacion!$B$4:$B$724,G$2)</f>
        <v>0</v>
      </c>
      <c r="H11" s="5">
        <f>SUMIFS(Facturacion!$I$4:$I$724,Facturacion!$A$4:$A$724,$A11,Facturacion!$B$4:$B$724,H$2)</f>
        <v>107554</v>
      </c>
      <c r="I11" s="5">
        <f>SUMIFS(Facturacion!$I$4:$I$724,Facturacion!$A$4:$A$724,$A11,Facturacion!$B$4:$B$724,I$2)</f>
        <v>28681</v>
      </c>
      <c r="J11" s="5">
        <f>SUMIFS(Facturacion!$I$4:$I$724,Facturacion!$A$4:$A$724,$A11,Facturacion!$B$4:$B$724,J$2)</f>
        <v>0</v>
      </c>
      <c r="K11" s="5">
        <f>SUMIFS(Facturacion!$I$4:$I$724,Facturacion!$A$4:$A$724,$A11,Facturacion!$B$4:$B$724,K$2)</f>
        <v>222278</v>
      </c>
      <c r="L11" s="5">
        <f>SUMIFS(Facturacion!$I$4:$I$724,Facturacion!$A$4:$A$724,$A11,Facturacion!$B$4:$B$724,L$2)</f>
        <v>0</v>
      </c>
      <c r="M11" s="5">
        <f>SUMIFS(Facturacion!$I$4:$I$724,Facturacion!$A$4:$A$724,$A11,Facturacion!$B$4:$B$724,M$2)</f>
        <v>0</v>
      </c>
      <c r="N11" s="11">
        <f t="shared" si="0"/>
        <v>1489262</v>
      </c>
    </row>
    <row r="12" spans="1:14" x14ac:dyDescent="0.3">
      <c r="A12" s="4">
        <v>45444</v>
      </c>
      <c r="B12" s="5">
        <f>SUMIFS(Facturacion!$I$4:$I$724,Facturacion!$A$4:$A$724,$A12,Facturacion!$B$4:$B$724,B$2)</f>
        <v>688344</v>
      </c>
      <c r="C12" s="5">
        <f>SUMIFS(Facturacion!$I$4:$I$724,Facturacion!$A$4:$A$724,$A12,Facturacion!$B$4:$B$724,C$2)</f>
        <v>114724</v>
      </c>
      <c r="D12" s="5">
        <f>SUMIFS(Facturacion!$I$4:$I$724,Facturacion!$A$4:$A$724,$A12,Facturacion!$B$4:$B$724,D$2)</f>
        <v>23662</v>
      </c>
      <c r="E12" s="5">
        <f>SUMIFS(Facturacion!$I$4:$I$724,Facturacion!$A$4:$A$724,$A12,Facturacion!$B$4:$B$724,E$2)</f>
        <v>21511</v>
      </c>
      <c r="F12" s="5">
        <f>SUMIFS(Facturacion!$I$4:$I$724,Facturacion!$A$4:$A$724,$A12,Facturacion!$B$4:$B$724,F$2)</f>
        <v>186427</v>
      </c>
      <c r="G12" s="5">
        <f>SUMIFS(Facturacion!$I$4:$I$724,Facturacion!$A$4:$A$724,$A12,Facturacion!$B$4:$B$724,G$2)</f>
        <v>0</v>
      </c>
      <c r="H12" s="5">
        <f>SUMIFS(Facturacion!$I$4:$I$724,Facturacion!$A$4:$A$724,$A12,Facturacion!$B$4:$B$724,H$2)</f>
        <v>21511</v>
      </c>
      <c r="I12" s="5">
        <f>SUMIFS(Facturacion!$I$4:$I$724,Facturacion!$A$4:$A$724,$A12,Facturacion!$B$4:$B$724,I$2)</f>
        <v>28681</v>
      </c>
      <c r="J12" s="5">
        <f>SUMIFS(Facturacion!$I$4:$I$724,Facturacion!$A$4:$A$724,$A12,Facturacion!$B$4:$B$724,J$2)</f>
        <v>0</v>
      </c>
      <c r="K12" s="5">
        <f>SUMIFS(Facturacion!$I$4:$I$724,Facturacion!$A$4:$A$724,$A12,Facturacion!$B$4:$B$724,K$2)</f>
        <v>222278</v>
      </c>
      <c r="L12" s="5">
        <f>SUMIFS(Facturacion!$I$4:$I$724,Facturacion!$A$4:$A$724,$A12,Facturacion!$B$4:$B$724,L$2)</f>
        <v>0</v>
      </c>
      <c r="M12" s="5">
        <f>SUMIFS(Facturacion!$I$4:$I$724,Facturacion!$A$4:$A$724,$A12,Facturacion!$B$4:$B$724,M$2)</f>
        <v>0</v>
      </c>
      <c r="N12" s="11">
        <f t="shared" si="0"/>
        <v>1307138</v>
      </c>
    </row>
    <row r="13" spans="1:14" x14ac:dyDescent="0.3">
      <c r="A13" s="4">
        <v>45474</v>
      </c>
      <c r="B13" s="5">
        <f>SUMIFS(Facturacion!$I$4:$I$724,Facturacion!$A$4:$A$724,$A13,Facturacion!$B$4:$B$724,B$2)</f>
        <v>989495</v>
      </c>
      <c r="C13" s="5">
        <f>SUMIFS(Facturacion!$I$4:$I$724,Facturacion!$A$4:$A$724,$A13,Facturacion!$B$4:$B$724,C$2)</f>
        <v>121894</v>
      </c>
      <c r="D13" s="5">
        <f>SUMIFS(Facturacion!$I$4:$I$724,Facturacion!$A$4:$A$724,$A13,Facturacion!$B$4:$B$724,D$2)</f>
        <v>23662</v>
      </c>
      <c r="E13" s="5">
        <f>SUMIFS(Facturacion!$I$4:$I$724,Facturacion!$A$4:$A$724,$A13,Facturacion!$B$4:$B$724,E$2)</f>
        <v>21511</v>
      </c>
      <c r="F13" s="5">
        <f>SUMIFS(Facturacion!$I$4:$I$724,Facturacion!$A$4:$A$724,$A13,Facturacion!$B$4:$B$724,F$2)</f>
        <v>200767</v>
      </c>
      <c r="G13" s="5">
        <f>SUMIFS(Facturacion!$I$4:$I$724,Facturacion!$A$4:$A$724,$A13,Facturacion!$B$4:$B$724,G$2)</f>
        <v>32983</v>
      </c>
      <c r="H13" s="5">
        <f>SUMIFS(Facturacion!$I$4:$I$724,Facturacion!$A$4:$A$724,$A13,Facturacion!$B$4:$B$724,H$2)</f>
        <v>21511</v>
      </c>
      <c r="I13" s="5">
        <f>SUMIFS(Facturacion!$I$4:$I$724,Facturacion!$A$4:$A$724,$A13,Facturacion!$B$4:$B$724,I$2)</f>
        <v>28681</v>
      </c>
      <c r="J13" s="5">
        <f>SUMIFS(Facturacion!$I$4:$I$724,Facturacion!$A$4:$A$724,$A13,Facturacion!$B$4:$B$724,J$2)</f>
        <v>0</v>
      </c>
      <c r="K13" s="5">
        <f>SUMIFS(Facturacion!$I$4:$I$724,Facturacion!$A$4:$A$724,$A13,Facturacion!$B$4:$B$724,K$2)</f>
        <v>207938</v>
      </c>
      <c r="L13" s="5">
        <f>SUMIFS(Facturacion!$I$4:$I$724,Facturacion!$A$4:$A$724,$A13,Facturacion!$B$4:$B$724,L$2)</f>
        <v>0</v>
      </c>
      <c r="M13" s="5">
        <f>SUMIFS(Facturacion!$I$4:$I$724,Facturacion!$A$4:$A$724,$A13,Facturacion!$B$4:$B$724,M$2)</f>
        <v>0</v>
      </c>
      <c r="N13" s="11">
        <f t="shared" si="0"/>
        <v>1648442</v>
      </c>
    </row>
    <row r="14" spans="1:14" x14ac:dyDescent="0.3">
      <c r="A14" s="4">
        <v>45505</v>
      </c>
      <c r="B14" s="5">
        <f>SUMIFS(Facturacion!$I$4:$I$724,Facturacion!$A$4:$A$724,$A14,Facturacion!$B$4:$B$724,B$2)</f>
        <v>731366</v>
      </c>
      <c r="C14" s="5">
        <f>SUMIFS(Facturacion!$I$4:$I$724,Facturacion!$A$4:$A$724,$A14,Facturacion!$B$4:$B$724,C$2)</f>
        <v>121894</v>
      </c>
      <c r="D14" s="5">
        <f>SUMIFS(Facturacion!$I$4:$I$724,Facturacion!$A$4:$A$724,$A14,Facturacion!$B$4:$B$724,D$2)</f>
        <v>23662</v>
      </c>
      <c r="E14" s="5">
        <f>SUMIFS(Facturacion!$I$4:$I$724,Facturacion!$A$4:$A$724,$A14,Facturacion!$B$4:$B$724,E$2)</f>
        <v>21511</v>
      </c>
      <c r="F14" s="5">
        <f>SUMIFS(Facturacion!$I$4:$I$724,Facturacion!$A$4:$A$724,$A14,Facturacion!$B$4:$B$724,F$2)</f>
        <v>186427</v>
      </c>
      <c r="G14" s="5">
        <f>SUMIFS(Facturacion!$I$4:$I$724,Facturacion!$A$4:$A$724,$A14,Facturacion!$B$4:$B$724,G$2)</f>
        <v>0</v>
      </c>
      <c r="H14" s="5">
        <f>SUMIFS(Facturacion!$I$4:$I$724,Facturacion!$A$4:$A$724,$A14,Facturacion!$B$4:$B$724,H$2)</f>
        <v>21511</v>
      </c>
      <c r="I14" s="5">
        <f>SUMIFS(Facturacion!$I$4:$I$724,Facturacion!$A$4:$A$724,$A14,Facturacion!$B$4:$B$724,I$2)</f>
        <v>28681</v>
      </c>
      <c r="J14" s="5">
        <f>SUMIFS(Facturacion!$I$4:$I$724,Facturacion!$A$4:$A$724,$A14,Facturacion!$B$4:$B$724,J$2)</f>
        <v>0</v>
      </c>
      <c r="K14" s="5">
        <f>SUMIFS(Facturacion!$I$4:$I$724,Facturacion!$A$4:$A$724,$A14,Facturacion!$B$4:$B$724,K$2)</f>
        <v>207938</v>
      </c>
      <c r="L14" s="5">
        <f>SUMIFS(Facturacion!$I$4:$I$724,Facturacion!$A$4:$A$724,$A14,Facturacion!$B$4:$B$724,L$2)</f>
        <v>0</v>
      </c>
      <c r="M14" s="5">
        <f>SUMIFS(Facturacion!$I$4:$I$724,Facturacion!$A$4:$A$724,$A14,Facturacion!$B$4:$B$724,M$2)</f>
        <v>0</v>
      </c>
      <c r="N14" s="11">
        <f t="shared" si="0"/>
        <v>1342990</v>
      </c>
    </row>
    <row r="15" spans="1:14" x14ac:dyDescent="0.3">
      <c r="A15" s="4">
        <v>45536</v>
      </c>
      <c r="B15" s="5">
        <f>SUMIFS(Facturacion!$I$4:$I$724,Facturacion!$A$4:$A$724,$A15,Facturacion!$B$4:$B$724,B$2)</f>
        <v>688344</v>
      </c>
      <c r="C15" s="5">
        <f>SUMIFS(Facturacion!$I$4:$I$724,Facturacion!$A$4:$A$724,$A15,Facturacion!$B$4:$B$724,C$2)</f>
        <v>114724</v>
      </c>
      <c r="D15" s="5">
        <f>SUMIFS(Facturacion!$I$4:$I$724,Facturacion!$A$4:$A$724,$A15,Facturacion!$B$4:$B$724,D$2)</f>
        <v>23662</v>
      </c>
      <c r="E15" s="5">
        <f>SUMIFS(Facturacion!$I$4:$I$724,Facturacion!$A$4:$A$724,$A15,Facturacion!$B$4:$B$724,E$2)</f>
        <v>21511</v>
      </c>
      <c r="F15" s="5">
        <f>SUMIFS(Facturacion!$I$4:$I$724,Facturacion!$A$4:$A$724,$A15,Facturacion!$B$4:$B$724,F$2)</f>
        <v>186427</v>
      </c>
      <c r="G15" s="5">
        <f>SUMIFS(Facturacion!$I$4:$I$724,Facturacion!$A$4:$A$724,$A15,Facturacion!$B$4:$B$724,G$2)</f>
        <v>0</v>
      </c>
      <c r="H15" s="5">
        <f>SUMIFS(Facturacion!$I$4:$I$724,Facturacion!$A$4:$A$724,$A15,Facturacion!$B$4:$B$724,H$2)</f>
        <v>21511</v>
      </c>
      <c r="I15" s="5">
        <f>SUMIFS(Facturacion!$I$4:$I$724,Facturacion!$A$4:$A$724,$A15,Facturacion!$B$4:$B$724,I$2)</f>
        <v>28681</v>
      </c>
      <c r="J15" s="5">
        <f>SUMIFS(Facturacion!$I$4:$I$724,Facturacion!$A$4:$A$724,$A15,Facturacion!$B$4:$B$724,J$2)</f>
        <v>0</v>
      </c>
      <c r="K15" s="5">
        <f>SUMIFS(Facturacion!$I$4:$I$724,Facturacion!$A$4:$A$724,$A15,Facturacion!$B$4:$B$724,K$2)</f>
        <v>222278</v>
      </c>
      <c r="L15" s="5">
        <f>SUMIFS(Facturacion!$I$4:$I$724,Facturacion!$A$4:$A$724,$A15,Facturacion!$B$4:$B$724,L$2)</f>
        <v>0</v>
      </c>
      <c r="M15" s="5">
        <f>SUMIFS(Facturacion!$I$4:$I$724,Facturacion!$A$4:$A$724,$A15,Facturacion!$B$4:$B$724,M$2)</f>
        <v>0</v>
      </c>
      <c r="N15" s="11">
        <f t="shared" si="0"/>
        <v>1307138</v>
      </c>
    </row>
    <row r="16" spans="1:14" x14ac:dyDescent="0.3">
      <c r="A16" s="4">
        <v>45566</v>
      </c>
      <c r="B16" s="5">
        <f>SUMIFS(Facturacion!$I$4:$I$724,Facturacion!$A$4:$A$724,$A16,Facturacion!$B$4:$B$724,B$2)</f>
        <v>702685</v>
      </c>
      <c r="C16" s="5">
        <f>SUMIFS(Facturacion!$I$4:$I$724,Facturacion!$A$4:$A$724,$A16,Facturacion!$B$4:$B$724,C$2)</f>
        <v>129065</v>
      </c>
      <c r="D16" s="5">
        <f>SUMIFS(Facturacion!$I$4:$I$724,Facturacion!$A$4:$A$724,$A16,Facturacion!$B$4:$B$724,D$2)</f>
        <v>23662</v>
      </c>
      <c r="E16" s="5">
        <f>SUMIFS(Facturacion!$I$4:$I$724,Facturacion!$A$4:$A$724,$A16,Facturacion!$B$4:$B$724,E$2)</f>
        <v>78873</v>
      </c>
      <c r="F16" s="5">
        <f>SUMIFS(Facturacion!$I$4:$I$724,Facturacion!$A$4:$A$724,$A16,Facturacion!$B$4:$B$724,F$2)</f>
        <v>200767</v>
      </c>
      <c r="G16" s="5">
        <f>SUMIFS(Facturacion!$I$4:$I$724,Facturacion!$A$4:$A$724,$A16,Facturacion!$B$4:$B$724,G$2)</f>
        <v>0</v>
      </c>
      <c r="H16" s="5">
        <f>SUMIFS(Facturacion!$I$4:$I$724,Facturacion!$A$4:$A$724,$A16,Facturacion!$B$4:$B$724,H$2)</f>
        <v>21511</v>
      </c>
      <c r="I16" s="5">
        <f>SUMIFS(Facturacion!$I$4:$I$724,Facturacion!$A$4:$A$724,$A16,Facturacion!$B$4:$B$724,I$2)</f>
        <v>28681</v>
      </c>
      <c r="J16" s="5">
        <f>SUMIFS(Facturacion!$I$4:$I$724,Facturacion!$A$4:$A$724,$A16,Facturacion!$B$4:$B$724,J$2)</f>
        <v>0</v>
      </c>
      <c r="K16" s="5">
        <f>SUMIFS(Facturacion!$I$4:$I$724,Facturacion!$A$4:$A$724,$A16,Facturacion!$B$4:$B$724,K$2)</f>
        <v>207938</v>
      </c>
      <c r="L16" s="5">
        <f>SUMIFS(Facturacion!$I$4:$I$724,Facturacion!$A$4:$A$724,$A16,Facturacion!$B$4:$B$724,L$2)</f>
        <v>0</v>
      </c>
      <c r="M16" s="5">
        <f>SUMIFS(Facturacion!$I$4:$I$724,Facturacion!$A$4:$A$724,$A16,Facturacion!$B$4:$B$724,M$2)</f>
        <v>0</v>
      </c>
      <c r="N16" s="11">
        <f t="shared" si="0"/>
        <v>1393182</v>
      </c>
    </row>
    <row r="17" spans="1:14" x14ac:dyDescent="0.3">
      <c r="A17" s="4">
        <v>45597</v>
      </c>
      <c r="B17" s="5">
        <f>SUMIFS(Facturacion!$I$4:$I$724,Facturacion!$A$4:$A$724,$A17,Facturacion!$B$4:$B$724,B$2)</f>
        <v>760047</v>
      </c>
      <c r="C17" s="5">
        <f>SUMIFS(Facturacion!$I$4:$I$724,Facturacion!$A$4:$A$724,$A17,Facturacion!$B$4:$B$724,C$2)</f>
        <v>121894</v>
      </c>
      <c r="D17" s="5">
        <f>SUMIFS(Facturacion!$I$4:$I$724,Facturacion!$A$4:$A$724,$A17,Facturacion!$B$4:$B$724,D$2)</f>
        <v>23662</v>
      </c>
      <c r="E17" s="5">
        <f>SUMIFS(Facturacion!$I$4:$I$724,Facturacion!$A$4:$A$724,$A17,Facturacion!$B$4:$B$724,E$2)</f>
        <v>21511</v>
      </c>
      <c r="F17" s="5">
        <f>SUMIFS(Facturacion!$I$4:$I$724,Facturacion!$A$4:$A$724,$A17,Facturacion!$B$4:$B$724,F$2)</f>
        <v>200767</v>
      </c>
      <c r="G17" s="5">
        <f>SUMIFS(Facturacion!$I$4:$I$724,Facturacion!$A$4:$A$724,$A17,Facturacion!$B$4:$B$724,G$2)</f>
        <v>0</v>
      </c>
      <c r="H17" s="5">
        <f>SUMIFS(Facturacion!$I$4:$I$724,Facturacion!$A$4:$A$724,$A17,Facturacion!$B$4:$B$724,H$2)</f>
        <v>21511</v>
      </c>
      <c r="I17" s="5">
        <f>SUMIFS(Facturacion!$I$4:$I$724,Facturacion!$A$4:$A$724,$A17,Facturacion!$B$4:$B$724,I$2)</f>
        <v>28681</v>
      </c>
      <c r="J17" s="5">
        <f>SUMIFS(Facturacion!$I$4:$I$724,Facturacion!$A$4:$A$724,$A17,Facturacion!$B$4:$B$724,J$2)</f>
        <v>0</v>
      </c>
      <c r="K17" s="5">
        <f>SUMIFS(Facturacion!$I$4:$I$724,Facturacion!$A$4:$A$724,$A17,Facturacion!$B$4:$B$724,K$2)</f>
        <v>207938</v>
      </c>
      <c r="L17" s="5">
        <f>SUMIFS(Facturacion!$I$4:$I$724,Facturacion!$A$4:$A$724,$A17,Facturacion!$B$4:$B$724,L$2)</f>
        <v>0</v>
      </c>
      <c r="M17" s="5">
        <f>SUMIFS(Facturacion!$I$4:$I$724,Facturacion!$A$4:$A$724,$A17,Facturacion!$B$4:$B$724,M$2)</f>
        <v>0</v>
      </c>
      <c r="N17" s="11">
        <f t="shared" si="0"/>
        <v>1386011</v>
      </c>
    </row>
    <row r="18" spans="1:14" x14ac:dyDescent="0.3">
      <c r="A18" s="4">
        <v>45627</v>
      </c>
      <c r="B18" s="5">
        <f>SUMIFS(Facturacion!$I$4:$I$724,Facturacion!$A$4:$A$724,$A18,Facturacion!$B$4:$B$724,B$2)</f>
        <v>946474</v>
      </c>
      <c r="C18" s="5">
        <f>SUMIFS(Facturacion!$I$4:$I$724,Facturacion!$A$4:$A$724,$A18,Facturacion!$B$4:$B$724,C$2)</f>
        <v>121894</v>
      </c>
      <c r="D18" s="5">
        <f>SUMIFS(Facturacion!$I$4:$I$724,Facturacion!$A$4:$A$724,$A18,Facturacion!$B$4:$B$724,D$2)</f>
        <v>173520</v>
      </c>
      <c r="E18" s="5">
        <f>SUMIFS(Facturacion!$I$4:$I$724,Facturacion!$A$4:$A$724,$A18,Facturacion!$B$4:$B$724,E$2)</f>
        <v>64533</v>
      </c>
      <c r="F18" s="5">
        <f>SUMIFS(Facturacion!$I$4:$I$724,Facturacion!$A$4:$A$724,$A18,Facturacion!$B$4:$B$724,F$2)</f>
        <v>250959</v>
      </c>
      <c r="G18" s="5">
        <f>SUMIFS(Facturacion!$I$4:$I$724,Facturacion!$A$4:$A$724,$A18,Facturacion!$B$4:$B$724,G$2)</f>
        <v>0</v>
      </c>
      <c r="H18" s="5">
        <f>SUMIFS(Facturacion!$I$4:$I$724,Facturacion!$A$4:$A$724,$A18,Facturacion!$B$4:$B$724,H$2)</f>
        <v>21511</v>
      </c>
      <c r="I18" s="5">
        <f>SUMIFS(Facturacion!$I$4:$I$724,Facturacion!$A$4:$A$724,$A18,Facturacion!$B$4:$B$724,I$2)</f>
        <v>28681</v>
      </c>
      <c r="J18" s="5">
        <f>SUMIFS(Facturacion!$I$4:$I$724,Facturacion!$A$4:$A$724,$A18,Facturacion!$B$4:$B$724,J$2)</f>
        <v>0</v>
      </c>
      <c r="K18" s="5">
        <f>SUMIFS(Facturacion!$I$4:$I$724,Facturacion!$A$4:$A$724,$A18,Facturacion!$B$4:$B$724,K$2)</f>
        <v>258130</v>
      </c>
      <c r="L18" s="5">
        <f>SUMIFS(Facturacion!$I$4:$I$724,Facturacion!$A$4:$A$724,$A18,Facturacion!$B$4:$B$724,L$2)</f>
        <v>0</v>
      </c>
      <c r="M18" s="5">
        <f>SUMIFS(Facturacion!$I$4:$I$724,Facturacion!$A$4:$A$724,$A18,Facturacion!$B$4:$B$724,M$2)</f>
        <v>0</v>
      </c>
      <c r="N18" s="11">
        <f t="shared" si="0"/>
        <v>1865702</v>
      </c>
    </row>
    <row r="19" spans="1:14" x14ac:dyDescent="0.3">
      <c r="A19" s="4">
        <v>45658</v>
      </c>
      <c r="B19" s="5">
        <f>SUMIFS(Facturacion!$I$4:$I$724,Facturacion!$A$4:$A$724,$A19,Facturacion!$B$4:$B$724,B$2)</f>
        <v>817409</v>
      </c>
      <c r="C19" s="5">
        <f>SUMIFS(Facturacion!$I$4:$I$724,Facturacion!$A$4:$A$724,$A19,Facturacion!$B$4:$B$724,C$2)</f>
        <v>143405</v>
      </c>
      <c r="D19" s="5">
        <f>SUMIFS(Facturacion!$I$4:$I$724,Facturacion!$A$4:$A$724,$A19,Facturacion!$B$4:$B$724,D$2)</f>
        <v>23662</v>
      </c>
      <c r="E19" s="5">
        <f>SUMIFS(Facturacion!$I$4:$I$724,Facturacion!$A$4:$A$724,$A19,Facturacion!$B$4:$B$724,E$2)</f>
        <v>21511</v>
      </c>
      <c r="F19" s="5">
        <f>SUMIFS(Facturacion!$I$4:$I$724,Facturacion!$A$4:$A$724,$A19,Facturacion!$B$4:$B$724,F$2)</f>
        <v>415875</v>
      </c>
      <c r="G19" s="5">
        <f>SUMIFS(Facturacion!$I$4:$I$724,Facturacion!$A$4:$A$724,$A19,Facturacion!$B$4:$B$724,G$2)</f>
        <v>0</v>
      </c>
      <c r="H19" s="5">
        <f>SUMIFS(Facturacion!$I$4:$I$724,Facturacion!$A$4:$A$724,$A19,Facturacion!$B$4:$B$724,H$2)</f>
        <v>21511</v>
      </c>
      <c r="I19" s="5">
        <f>SUMIFS(Facturacion!$I$4:$I$724,Facturacion!$A$4:$A$724,$A19,Facturacion!$B$4:$B$724,I$2)</f>
        <v>28681</v>
      </c>
      <c r="J19" s="5">
        <f>SUMIFS(Facturacion!$I$4:$I$724,Facturacion!$A$4:$A$724,$A19,Facturacion!$B$4:$B$724,J$2)</f>
        <v>0</v>
      </c>
      <c r="K19" s="5">
        <f>SUMIFS(Facturacion!$I$4:$I$724,Facturacion!$A$4:$A$724,$A19,Facturacion!$B$4:$B$724,K$2)</f>
        <v>265300</v>
      </c>
      <c r="L19" s="5">
        <f>SUMIFS(Facturacion!$I$4:$I$724,Facturacion!$A$4:$A$724,$A19,Facturacion!$B$4:$B$724,L$2)</f>
        <v>0</v>
      </c>
      <c r="M19" s="5">
        <f>SUMIFS(Facturacion!$I$4:$I$724,Facturacion!$A$4:$A$724,$A19,Facturacion!$B$4:$B$724,M$2)</f>
        <v>0</v>
      </c>
      <c r="N19" s="11">
        <f t="shared" si="0"/>
        <v>1737354</v>
      </c>
    </row>
    <row r="20" spans="1:14" x14ac:dyDescent="0.3">
      <c r="A20" s="4">
        <v>45689</v>
      </c>
      <c r="B20" s="5">
        <f>SUMIFS(Facturacion!$I$4:$I$724,Facturacion!$A$4:$A$724,$A20,Facturacion!$B$4:$B$724,B$2)</f>
        <v>745707</v>
      </c>
      <c r="C20" s="5">
        <f>SUMIFS(Facturacion!$I$4:$I$724,Facturacion!$A$4:$A$724,$A20,Facturacion!$B$4:$B$724,C$2)</f>
        <v>136235</v>
      </c>
      <c r="D20" s="5">
        <f>SUMIFS(Facturacion!$I$4:$I$724,Facturacion!$A$4:$A$724,$A20,Facturacion!$B$4:$B$724,D$2)</f>
        <v>86761</v>
      </c>
      <c r="E20" s="5">
        <f>SUMIFS(Facturacion!$I$4:$I$724,Facturacion!$A$4:$A$724,$A20,Facturacion!$B$4:$B$724,E$2)</f>
        <v>35852</v>
      </c>
      <c r="F20" s="5">
        <f>SUMIFS(Facturacion!$I$4:$I$724,Facturacion!$A$4:$A$724,$A20,Facturacion!$B$4:$B$724,F$2)</f>
        <v>200768</v>
      </c>
      <c r="G20" s="5">
        <f>SUMIFS(Facturacion!$I$4:$I$724,Facturacion!$A$4:$A$724,$A20,Facturacion!$B$4:$B$724,G$2)</f>
        <v>0</v>
      </c>
      <c r="H20" s="5">
        <f>SUMIFS(Facturacion!$I$4:$I$724,Facturacion!$A$4:$A$724,$A20,Facturacion!$B$4:$B$724,H$2)</f>
        <v>35852</v>
      </c>
      <c r="I20" s="5">
        <f>SUMIFS(Facturacion!$I$4:$I$724,Facturacion!$A$4:$A$724,$A20,Facturacion!$B$4:$B$724,I$2)</f>
        <v>43022</v>
      </c>
      <c r="J20" s="5">
        <f>SUMIFS(Facturacion!$I$4:$I$724,Facturacion!$A$4:$A$724,$A20,Facturacion!$B$4:$B$724,J$2)</f>
        <v>0</v>
      </c>
      <c r="K20" s="5">
        <f>SUMIFS(Facturacion!$I$4:$I$724,Facturacion!$A$4:$A$724,$A20,Facturacion!$B$4:$B$724,K$2)</f>
        <v>222279</v>
      </c>
      <c r="L20" s="5">
        <f>SUMIFS(Facturacion!$I$4:$I$724,Facturacion!$A$4:$A$724,$A20,Facturacion!$B$4:$B$724,L$2)</f>
        <v>0</v>
      </c>
      <c r="M20" s="5">
        <f>SUMIFS(Facturacion!$I$4:$I$724,Facturacion!$A$4:$A$724,$A20,Facturacion!$B$4:$B$724,M$2)</f>
        <v>90345</v>
      </c>
      <c r="N20" s="11">
        <f t="shared" si="0"/>
        <v>1596821</v>
      </c>
    </row>
    <row r="21" spans="1:14" x14ac:dyDescent="0.3">
      <c r="A21" s="4">
        <v>45717</v>
      </c>
      <c r="B21" s="5">
        <f>SUMIFS(Facturacion!$I$4:$I$724,Facturacion!$A$4:$A$724,$A21,Facturacion!$B$4:$B$724,B$2)</f>
        <v>717025</v>
      </c>
      <c r="C21" s="5">
        <f>SUMIFS(Facturacion!$I$4:$I$724,Facturacion!$A$4:$A$724,$A21,Facturacion!$B$4:$B$724,C$2)</f>
        <v>387194</v>
      </c>
      <c r="D21" s="5">
        <f>SUMIFS(Facturacion!$I$4:$I$724,Facturacion!$A$4:$A$724,$A21,Facturacion!$B$4:$B$724,D$2)</f>
        <v>23662</v>
      </c>
      <c r="E21" s="5">
        <f>SUMIFS(Facturacion!$I$4:$I$724,Facturacion!$A$4:$A$724,$A21,Facturacion!$B$4:$B$724,E$2)</f>
        <v>21511</v>
      </c>
      <c r="F21" s="5">
        <f>SUMIFS(Facturacion!$I$4:$I$724,Facturacion!$A$4:$A$724,$A21,Facturacion!$B$4:$B$724,F$2)</f>
        <v>186427</v>
      </c>
      <c r="G21" s="5">
        <f>SUMIFS(Facturacion!$I$4:$I$724,Facturacion!$A$4:$A$724,$A21,Facturacion!$B$4:$B$724,G$2)</f>
        <v>148424</v>
      </c>
      <c r="H21" s="5">
        <f>SUMIFS(Facturacion!$I$4:$I$724,Facturacion!$A$4:$A$724,$A21,Facturacion!$B$4:$B$724,H$2)</f>
        <v>64533</v>
      </c>
      <c r="I21" s="5">
        <f>SUMIFS(Facturacion!$I$4:$I$724,Facturacion!$A$4:$A$724,$A21,Facturacion!$B$4:$B$724,I$2)</f>
        <v>78873</v>
      </c>
      <c r="J21" s="5">
        <f>SUMIFS(Facturacion!$I$4:$I$724,Facturacion!$A$4:$A$724,$A21,Facturacion!$B$4:$B$724,J$2)</f>
        <v>47324</v>
      </c>
      <c r="K21" s="5">
        <f>SUMIFS(Facturacion!$I$4:$I$724,Facturacion!$A$4:$A$724,$A21,Facturacion!$B$4:$B$724,K$2)</f>
        <v>222278</v>
      </c>
      <c r="L21" s="5">
        <f>SUMIFS(Facturacion!$I$4:$I$724,Facturacion!$A$4:$A$724,$A21,Facturacion!$B$4:$B$724,L$2)</f>
        <v>43022</v>
      </c>
      <c r="M21" s="5">
        <f>SUMIFS(Facturacion!$I$4:$I$724,Facturacion!$A$4:$A$724,$A21,Facturacion!$B$4:$B$724,M$2)</f>
        <v>45173</v>
      </c>
      <c r="N21" s="11">
        <f t="shared" si="0"/>
        <v>1985446</v>
      </c>
    </row>
    <row r="22" spans="1:14" x14ac:dyDescent="0.3">
      <c r="A22" s="4">
        <v>45748</v>
      </c>
      <c r="B22" s="5">
        <f>SUMIFS(Facturacion!$I$4:$I$724,Facturacion!$A$4:$A$724,$A22,Facturacion!$B$4:$B$724,B$2)</f>
        <v>760047</v>
      </c>
      <c r="C22" s="5">
        <f>SUMIFS(Facturacion!$I$4:$I$724,Facturacion!$A$4:$A$724,$A22,Facturacion!$B$4:$B$724,C$2)</f>
        <v>121894</v>
      </c>
      <c r="D22" s="5">
        <f>SUMIFS(Facturacion!$I$4:$I$724,Facturacion!$A$4:$A$724,$A22,Facturacion!$B$4:$B$724,D$2)</f>
        <v>23662</v>
      </c>
      <c r="E22" s="5">
        <f>SUMIFS(Facturacion!$I$4:$I$724,Facturacion!$A$4:$A$724,$A22,Facturacion!$B$4:$B$724,E$2)</f>
        <v>21511</v>
      </c>
      <c r="F22" s="5">
        <f>SUMIFS(Facturacion!$I$4:$I$724,Facturacion!$A$4:$A$724,$A22,Facturacion!$B$4:$B$724,F$2)</f>
        <v>200767</v>
      </c>
      <c r="G22" s="5">
        <f>SUMIFS(Facturacion!$I$4:$I$724,Facturacion!$A$4:$A$724,$A22,Facturacion!$B$4:$B$724,G$2)</f>
        <v>0</v>
      </c>
      <c r="H22" s="5">
        <f>SUMIFS(Facturacion!$I$4:$I$724,Facturacion!$A$4:$A$724,$A22,Facturacion!$B$4:$B$724,H$2)</f>
        <v>21511</v>
      </c>
      <c r="I22" s="5">
        <f>SUMIFS(Facturacion!$I$4:$I$724,Facturacion!$A$4:$A$724,$A22,Facturacion!$B$4:$B$724,I$2)</f>
        <v>28681</v>
      </c>
      <c r="J22" s="5">
        <f>SUMIFS(Facturacion!$I$4:$I$724,Facturacion!$A$4:$A$724,$A22,Facturacion!$B$4:$B$724,J$2)</f>
        <v>0</v>
      </c>
      <c r="K22" s="5">
        <f>SUMIFS(Facturacion!$I$4:$I$724,Facturacion!$A$4:$A$724,$A22,Facturacion!$B$4:$B$724,K$2)</f>
        <v>222278</v>
      </c>
      <c r="L22" s="5">
        <f>SUMIFS(Facturacion!$I$4:$I$724,Facturacion!$A$4:$A$724,$A22,Facturacion!$B$4:$B$724,L$2)</f>
        <v>0</v>
      </c>
      <c r="M22" s="5">
        <f>SUMIFS(Facturacion!$I$4:$I$724,Facturacion!$A$4:$A$724,$A22,Facturacion!$B$4:$B$724,M$2)</f>
        <v>150575</v>
      </c>
      <c r="N22" s="11">
        <f t="shared" si="0"/>
        <v>1550926</v>
      </c>
    </row>
    <row r="23" spans="1:14" x14ac:dyDescent="0.3">
      <c r="A23" s="4">
        <v>45778</v>
      </c>
      <c r="B23" s="5">
        <f>SUMIFS(Facturacion!$I$4:$I$724,Facturacion!$A$4:$A$724,$A23,Facturacion!$B$4:$B$724,B$2)</f>
        <v>760047</v>
      </c>
      <c r="C23" s="5">
        <f>SUMIFS(Facturacion!$I$4:$I$724,Facturacion!$A$4:$A$724,$A23,Facturacion!$B$4:$B$724,C$2)</f>
        <v>121894</v>
      </c>
      <c r="D23" s="5">
        <f>SUMIFS(Facturacion!$I$4:$I$724,Facturacion!$A$4:$A$724,$A23,Facturacion!$B$4:$B$724,D$2)</f>
        <v>23662</v>
      </c>
      <c r="E23" s="5">
        <f>SUMIFS(Facturacion!$I$4:$I$724,Facturacion!$A$4:$A$724,$A23,Facturacion!$B$4:$B$724,E$2)</f>
        <v>21511</v>
      </c>
      <c r="F23" s="5">
        <f>SUMIFS(Facturacion!$I$4:$I$724,Facturacion!$A$4:$A$724,$A23,Facturacion!$B$4:$B$724,F$2)</f>
        <v>186427</v>
      </c>
      <c r="G23" s="5">
        <f>SUMIFS(Facturacion!$I$4:$I$724,Facturacion!$A$4:$A$724,$A23,Facturacion!$B$4:$B$724,G$2)</f>
        <v>0</v>
      </c>
      <c r="H23" s="5">
        <f>SUMIFS(Facturacion!$I$4:$I$724,Facturacion!$A$4:$A$724,$A23,Facturacion!$B$4:$B$724,H$2)</f>
        <v>21511</v>
      </c>
      <c r="I23" s="5">
        <f>SUMIFS(Facturacion!$I$4:$I$724,Facturacion!$A$4:$A$724,$A23,Facturacion!$B$4:$B$724,I$2)</f>
        <v>28681</v>
      </c>
      <c r="J23" s="5">
        <f>SUMIFS(Facturacion!$I$4:$I$724,Facturacion!$A$4:$A$724,$A23,Facturacion!$B$4:$B$724,J$2)</f>
        <v>0</v>
      </c>
      <c r="K23" s="5">
        <f>SUMIFS(Facturacion!$I$4:$I$724,Facturacion!$A$4:$A$724,$A23,Facturacion!$B$4:$B$724,K$2)</f>
        <v>236619</v>
      </c>
      <c r="L23" s="5">
        <f>SUMIFS(Facturacion!$I$4:$I$724,Facturacion!$A$4:$A$724,$A23,Facturacion!$B$4:$B$724,L$2)</f>
        <v>0</v>
      </c>
      <c r="M23" s="5">
        <f>SUMIFS(Facturacion!$I$4:$I$724,Facturacion!$A$4:$A$724,$A23,Facturacion!$B$4:$B$724,M$2)</f>
        <v>0</v>
      </c>
      <c r="N23" s="11">
        <f t="shared" si="0"/>
        <v>1400352</v>
      </c>
    </row>
    <row r="24" spans="1:14" x14ac:dyDescent="0.3">
      <c r="A24" s="4">
        <v>45809</v>
      </c>
      <c r="B24" s="5">
        <f>SUMIFS(Facturacion!$I$4:$I$724,Facturacion!$A$4:$A$724,$A24,Facturacion!$B$4:$B$724,B$2)</f>
        <v>903452</v>
      </c>
      <c r="C24" s="5">
        <f>SUMIFS(Facturacion!$I$4:$I$724,Facturacion!$A$4:$A$724,$A24,Facturacion!$B$4:$B$724,C$2)</f>
        <v>207937</v>
      </c>
      <c r="D24" s="5">
        <f>SUMIFS(Facturacion!$I$4:$I$724,Facturacion!$A$4:$A$724,$A24,Facturacion!$B$4:$B$724,D$2)</f>
        <v>23662</v>
      </c>
      <c r="E24" s="5">
        <f>SUMIFS(Facturacion!$I$4:$I$724,Facturacion!$A$4:$A$724,$A24,Facturacion!$B$4:$B$724,E$2)</f>
        <v>21511</v>
      </c>
      <c r="F24" s="5">
        <f>SUMIFS(Facturacion!$I$4:$I$724,Facturacion!$A$4:$A$724,$A24,Facturacion!$B$4:$B$724,F$2)</f>
        <v>193597</v>
      </c>
      <c r="G24" s="5">
        <f>SUMIFS(Facturacion!$I$4:$I$724,Facturacion!$A$4:$A$724,$A24,Facturacion!$B$4:$B$724,G$2)</f>
        <v>32983</v>
      </c>
      <c r="H24" s="5">
        <f>SUMIFS(Facturacion!$I$4:$I$724,Facturacion!$A$4:$A$724,$A24,Facturacion!$B$4:$B$724,H$2)</f>
        <v>21511</v>
      </c>
      <c r="I24" s="5">
        <f>SUMIFS(Facturacion!$I$4:$I$724,Facturacion!$A$4:$A$724,$A24,Facturacion!$B$4:$B$724,I$2)</f>
        <v>28681</v>
      </c>
      <c r="J24" s="5">
        <f>SUMIFS(Facturacion!$I$4:$I$724,Facturacion!$A$4:$A$724,$A24,Facturacion!$B$4:$B$724,J$2)</f>
        <v>0</v>
      </c>
      <c r="K24" s="5">
        <f>SUMIFS(Facturacion!$I$4:$I$724,Facturacion!$A$4:$A$724,$A24,Facturacion!$B$4:$B$724,K$2)</f>
        <v>207938</v>
      </c>
      <c r="L24" s="5">
        <f>SUMIFS(Facturacion!$I$4:$I$724,Facturacion!$A$4:$A$724,$A24,Facturacion!$B$4:$B$724,L$2)</f>
        <v>0</v>
      </c>
      <c r="M24" s="5">
        <f>SUMIFS(Facturacion!$I$4:$I$724,Facturacion!$A$4:$A$724,$A24,Facturacion!$B$4:$B$724,M$2)</f>
        <v>0</v>
      </c>
      <c r="N24" s="11">
        <f t="shared" si="0"/>
        <v>1641272</v>
      </c>
    </row>
    <row r="25" spans="1:14" x14ac:dyDescent="0.3">
      <c r="A25" s="4">
        <v>45839</v>
      </c>
      <c r="B25" s="5">
        <f>SUMIFS(Facturacion!$I$4:$I$724,Facturacion!$A$4:$A$724,$A25,Facturacion!$B$4:$B$724,B$2)</f>
        <v>731366</v>
      </c>
      <c r="C25" s="5">
        <f>SUMIFS(Facturacion!$I$4:$I$724,Facturacion!$A$4:$A$724,$A25,Facturacion!$B$4:$B$724,C$2)</f>
        <v>129065</v>
      </c>
      <c r="D25" s="5">
        <f>SUMIFS(Facturacion!$I$4:$I$724,Facturacion!$A$4:$A$724,$A25,Facturacion!$B$4:$B$724,D$2)</f>
        <v>23662</v>
      </c>
      <c r="E25" s="5">
        <f>SUMIFS(Facturacion!$I$4:$I$724,Facturacion!$A$4:$A$724,$A25,Facturacion!$B$4:$B$724,E$2)</f>
        <v>28681</v>
      </c>
      <c r="F25" s="5">
        <f>SUMIFS(Facturacion!$I$4:$I$724,Facturacion!$A$4:$A$724,$A25,Facturacion!$B$4:$B$724,F$2)</f>
        <v>215108</v>
      </c>
      <c r="G25" s="5">
        <f>SUMIFS(Facturacion!$I$4:$I$724,Facturacion!$A$4:$A$724,$A25,Facturacion!$B$4:$B$724,G$2)</f>
        <v>0</v>
      </c>
      <c r="H25" s="5">
        <f>SUMIFS(Facturacion!$I$4:$I$724,Facturacion!$A$4:$A$724,$A25,Facturacion!$B$4:$B$724,H$2)</f>
        <v>21511</v>
      </c>
      <c r="I25" s="5">
        <f>SUMIFS(Facturacion!$I$4:$I$724,Facturacion!$A$4:$A$724,$A25,Facturacion!$B$4:$B$724,I$2)</f>
        <v>28681</v>
      </c>
      <c r="J25" s="5">
        <f>SUMIFS(Facturacion!$I$4:$I$724,Facturacion!$A$4:$A$724,$A25,Facturacion!$B$4:$B$724,J$2)</f>
        <v>0</v>
      </c>
      <c r="K25" s="5">
        <f>SUMIFS(Facturacion!$I$4:$I$724,Facturacion!$A$4:$A$724,$A25,Facturacion!$B$4:$B$724,K$2)</f>
        <v>222278</v>
      </c>
      <c r="L25" s="5">
        <f>SUMIFS(Facturacion!$I$4:$I$724,Facturacion!$A$4:$A$724,$A25,Facturacion!$B$4:$B$724,L$2)</f>
        <v>0</v>
      </c>
      <c r="M25" s="5">
        <f>SUMIFS(Facturacion!$I$4:$I$724,Facturacion!$A$4:$A$724,$A25,Facturacion!$B$4:$B$724,M$2)</f>
        <v>0</v>
      </c>
      <c r="N25" s="11">
        <f t="shared" si="0"/>
        <v>1400352</v>
      </c>
    </row>
    <row r="26" spans="1:14" x14ac:dyDescent="0.3">
      <c r="A26" s="4">
        <v>45870</v>
      </c>
      <c r="B26" s="5">
        <f>SUMIFS(Facturacion!$I$4:$I$724,Facturacion!$A$4:$A$724,$A26,Facturacion!$B$4:$B$724,B$2)</f>
        <v>760047</v>
      </c>
      <c r="C26" s="5">
        <f>SUMIFS(Facturacion!$I$4:$I$724,Facturacion!$A$4:$A$724,$A26,Facturacion!$B$4:$B$724,C$2)</f>
        <v>129065</v>
      </c>
      <c r="D26" s="5">
        <f>SUMIFS(Facturacion!$I$4:$I$724,Facturacion!$A$4:$A$724,$A26,Facturacion!$B$4:$B$724,D$2)</f>
        <v>23662</v>
      </c>
      <c r="E26" s="5">
        <f>SUMIFS(Facturacion!$I$4:$I$724,Facturacion!$A$4:$A$724,$A26,Facturacion!$B$4:$B$724,E$2)</f>
        <v>21511</v>
      </c>
      <c r="F26" s="5">
        <f>SUMIFS(Facturacion!$I$4:$I$724,Facturacion!$A$4:$A$724,$A26,Facturacion!$B$4:$B$724,F$2)</f>
        <v>200767</v>
      </c>
      <c r="G26" s="5">
        <f>SUMIFS(Facturacion!$I$4:$I$724,Facturacion!$A$4:$A$724,$A26,Facturacion!$B$4:$B$724,G$2)</f>
        <v>98949</v>
      </c>
      <c r="H26" s="5">
        <f>SUMIFS(Facturacion!$I$4:$I$724,Facturacion!$A$4:$A$724,$A26,Facturacion!$B$4:$B$724,H$2)</f>
        <v>57362</v>
      </c>
      <c r="I26" s="5">
        <f>SUMIFS(Facturacion!$I$4:$I$724,Facturacion!$A$4:$A$724,$A26,Facturacion!$B$4:$B$724,I$2)</f>
        <v>28681</v>
      </c>
      <c r="J26" s="5">
        <f>SUMIFS(Facturacion!$I$4:$I$724,Facturacion!$A$4:$A$724,$A26,Facturacion!$B$4:$B$724,J$2)</f>
        <v>0</v>
      </c>
      <c r="K26" s="5">
        <f>SUMIFS(Facturacion!$I$4:$I$724,Facturacion!$A$4:$A$724,$A26,Facturacion!$B$4:$B$724,K$2)</f>
        <v>222278</v>
      </c>
      <c r="L26" s="5">
        <f>SUMIFS(Facturacion!$I$4:$I$724,Facturacion!$A$4:$A$724,$A26,Facturacion!$B$4:$B$724,L$2)</f>
        <v>0</v>
      </c>
      <c r="M26" s="5">
        <f>SUMIFS(Facturacion!$I$4:$I$724,Facturacion!$A$4:$A$724,$A26,Facturacion!$B$4:$B$724,M$2)</f>
        <v>0</v>
      </c>
      <c r="N26" s="11">
        <f t="shared" si="0"/>
        <v>1542322</v>
      </c>
    </row>
    <row r="27" spans="1:14" x14ac:dyDescent="0.3">
      <c r="A27" s="4">
        <v>45901</v>
      </c>
      <c r="B27" s="5">
        <f>SUMIFS(Facturacion!$I$4:$I$724,Facturacion!$A$4:$A$724,$A27,Facturacion!$B$4:$B$724,B$2)</f>
        <v>717025</v>
      </c>
      <c r="C27" s="5">
        <f>SUMIFS(Facturacion!$I$4:$I$724,Facturacion!$A$4:$A$724,$A27,Facturacion!$B$4:$B$724,C$2)</f>
        <v>114724</v>
      </c>
      <c r="D27" s="5">
        <f>SUMIFS(Facturacion!$I$4:$I$724,Facturacion!$A$4:$A$724,$A27,Facturacion!$B$4:$B$724,D$2)</f>
        <v>31549</v>
      </c>
      <c r="E27" s="5">
        <f>SUMIFS(Facturacion!$I$4:$I$724,Facturacion!$A$4:$A$724,$A27,Facturacion!$B$4:$B$724,E$2)</f>
        <v>21511</v>
      </c>
      <c r="F27" s="5">
        <f>SUMIFS(Facturacion!$I$4:$I$724,Facturacion!$A$4:$A$724,$A27,Facturacion!$B$4:$B$724,F$2)</f>
        <v>222278</v>
      </c>
      <c r="G27" s="5">
        <f>SUMIFS(Facturacion!$I$4:$I$724,Facturacion!$A$4:$A$724,$A27,Facturacion!$B$4:$B$724,G$2)</f>
        <v>0</v>
      </c>
      <c r="H27" s="5">
        <f>SUMIFS(Facturacion!$I$4:$I$724,Facturacion!$A$4:$A$724,$A27,Facturacion!$B$4:$B$724,H$2)</f>
        <v>78873</v>
      </c>
      <c r="I27" s="5">
        <f>SUMIFS(Facturacion!$I$4:$I$724,Facturacion!$A$4:$A$724,$A27,Facturacion!$B$4:$B$724,I$2)</f>
        <v>35851</v>
      </c>
      <c r="J27" s="5">
        <f>SUMIFS(Facturacion!$I$4:$I$724,Facturacion!$A$4:$A$724,$A27,Facturacion!$B$4:$B$724,J$2)</f>
        <v>0</v>
      </c>
      <c r="K27" s="5">
        <f>SUMIFS(Facturacion!$I$4:$I$724,Facturacion!$A$4:$A$724,$A27,Facturacion!$B$4:$B$724,K$2)</f>
        <v>222278</v>
      </c>
      <c r="L27" s="5">
        <f>SUMIFS(Facturacion!$I$4:$I$724,Facturacion!$A$4:$A$724,$A27,Facturacion!$B$4:$B$724,L$2)</f>
        <v>0</v>
      </c>
      <c r="M27" s="5">
        <f>SUMIFS(Facturacion!$I$4:$I$724,Facturacion!$A$4:$A$724,$A27,Facturacion!$B$4:$B$724,M$2)</f>
        <v>0</v>
      </c>
      <c r="N27" s="11">
        <f t="shared" si="0"/>
        <v>1444089</v>
      </c>
    </row>
    <row r="28" spans="1:14" x14ac:dyDescent="0.3">
      <c r="A28" s="4">
        <v>45931</v>
      </c>
      <c r="B28" s="5">
        <f>SUMIFS(Facturacion!$I$4:$I$724,Facturacion!$A$4:$A$724,$A28,Facturacion!$B$4:$B$724,B$2)</f>
        <v>717025</v>
      </c>
      <c r="C28" s="5">
        <f>SUMIFS(Facturacion!$I$4:$I$724,Facturacion!$A$4:$A$724,$A28,Facturacion!$B$4:$B$724,C$2)</f>
        <v>121894</v>
      </c>
      <c r="D28" s="5">
        <f>SUMIFS(Facturacion!$I$4:$I$724,Facturacion!$A$4:$A$724,$A28,Facturacion!$B$4:$B$724,D$2)</f>
        <v>23662</v>
      </c>
      <c r="E28" s="5">
        <f>SUMIFS(Facturacion!$I$4:$I$724,Facturacion!$A$4:$A$724,$A28,Facturacion!$B$4:$B$724,E$2)</f>
        <v>21511</v>
      </c>
      <c r="F28" s="5">
        <f>SUMIFS(Facturacion!$I$4:$I$724,Facturacion!$A$4:$A$724,$A28,Facturacion!$B$4:$B$724,F$2)</f>
        <v>215108</v>
      </c>
      <c r="G28" s="5">
        <f>SUMIFS(Facturacion!$I$4:$I$724,Facturacion!$A$4:$A$724,$A28,Facturacion!$B$4:$B$724,G$2)</f>
        <v>0</v>
      </c>
      <c r="H28" s="5">
        <f>SUMIFS(Facturacion!$I$4:$I$724,Facturacion!$A$4:$A$724,$A28,Facturacion!$B$4:$B$724,H$2)</f>
        <v>21511</v>
      </c>
      <c r="I28" s="5">
        <f>SUMIFS(Facturacion!$I$4:$I$724,Facturacion!$A$4:$A$724,$A28,Facturacion!$B$4:$B$724,I$2)</f>
        <v>28681</v>
      </c>
      <c r="J28" s="5">
        <f>SUMIFS(Facturacion!$I$4:$I$724,Facturacion!$A$4:$A$724,$A28,Facturacion!$B$4:$B$724,J$2)</f>
        <v>0</v>
      </c>
      <c r="K28" s="5">
        <f>SUMIFS(Facturacion!$I$4:$I$724,Facturacion!$A$4:$A$724,$A28,Facturacion!$B$4:$B$724,K$2)</f>
        <v>243789</v>
      </c>
      <c r="L28" s="5">
        <f>SUMIFS(Facturacion!$I$4:$I$724,Facturacion!$A$4:$A$724,$A28,Facturacion!$B$4:$B$724,L$2)</f>
        <v>0</v>
      </c>
      <c r="M28" s="5">
        <f>SUMIFS(Facturacion!$I$4:$I$724,Facturacion!$A$4:$A$724,$A28,Facturacion!$B$4:$B$724,M$2)</f>
        <v>30115</v>
      </c>
      <c r="N28" s="11">
        <f t="shared" si="0"/>
        <v>1423296</v>
      </c>
    </row>
    <row r="29" spans="1:14" x14ac:dyDescent="0.3">
      <c r="A29" s="4">
        <v>45962</v>
      </c>
      <c r="B29" s="5">
        <f>SUMIFS(Facturacion!$I$4:$I$724,Facturacion!$A$4:$A$724,$A29,Facturacion!$B$4:$B$724,B$2)</f>
        <v>788728</v>
      </c>
      <c r="C29" s="5">
        <f>SUMIFS(Facturacion!$I$4:$I$724,Facturacion!$A$4:$A$724,$A29,Facturacion!$B$4:$B$724,C$2)</f>
        <v>121894</v>
      </c>
      <c r="D29" s="5">
        <f>SUMIFS(Facturacion!$I$4:$I$724,Facturacion!$A$4:$A$724,$A29,Facturacion!$B$4:$B$724,D$2)</f>
        <v>31549</v>
      </c>
      <c r="E29" s="5">
        <f>SUMIFS(Facturacion!$I$4:$I$724,Facturacion!$A$4:$A$724,$A29,Facturacion!$B$4:$B$724,E$2)</f>
        <v>28681</v>
      </c>
      <c r="F29" s="5">
        <f>SUMIFS(Facturacion!$I$4:$I$724,Facturacion!$A$4:$A$724,$A29,Facturacion!$B$4:$B$724,F$2)</f>
        <v>200767</v>
      </c>
      <c r="G29" s="5">
        <f>SUMIFS(Facturacion!$I$4:$I$724,Facturacion!$A$4:$A$724,$A29,Facturacion!$B$4:$B$724,G$2)</f>
        <v>0</v>
      </c>
      <c r="H29" s="5">
        <f>SUMIFS(Facturacion!$I$4:$I$724,Facturacion!$A$4:$A$724,$A29,Facturacion!$B$4:$B$724,H$2)</f>
        <v>21511</v>
      </c>
      <c r="I29" s="5">
        <f>SUMIFS(Facturacion!$I$4:$I$724,Facturacion!$A$4:$A$724,$A29,Facturacion!$B$4:$B$724,I$2)</f>
        <v>28681</v>
      </c>
      <c r="J29" s="5">
        <f>SUMIFS(Facturacion!$I$4:$I$724,Facturacion!$A$4:$A$724,$A29,Facturacion!$B$4:$B$724,J$2)</f>
        <v>0</v>
      </c>
      <c r="K29" s="5">
        <f>SUMIFS(Facturacion!$I$4:$I$724,Facturacion!$A$4:$A$724,$A29,Facturacion!$B$4:$B$724,K$2)</f>
        <v>236619</v>
      </c>
      <c r="L29" s="5">
        <f>SUMIFS(Facturacion!$I$4:$I$724,Facturacion!$A$4:$A$724,$A29,Facturacion!$B$4:$B$724,L$2)</f>
        <v>0</v>
      </c>
      <c r="M29" s="5">
        <f>SUMIFS(Facturacion!$I$4:$I$724,Facturacion!$A$4:$A$724,$A29,Facturacion!$B$4:$B$724,M$2)</f>
        <v>0</v>
      </c>
      <c r="N29" s="11">
        <f t="shared" si="0"/>
        <v>1458430</v>
      </c>
    </row>
    <row r="30" spans="1:14" x14ac:dyDescent="0.3">
      <c r="A30" s="4">
        <v>45992</v>
      </c>
      <c r="B30" s="5">
        <f>SUMIFS(Facturacion!$I$4:$I$724,Facturacion!$A$4:$A$724,$A30,Facturacion!$B$4:$B$724,B$2)</f>
        <v>1046857</v>
      </c>
      <c r="C30" s="5">
        <f>SUMIFS(Facturacion!$I$4:$I$724,Facturacion!$A$4:$A$724,$A30,Facturacion!$B$4:$B$724,C$2)</f>
        <v>129065</v>
      </c>
      <c r="D30" s="5">
        <f>SUMIFS(Facturacion!$I$4:$I$724,Facturacion!$A$4:$A$724,$A30,Facturacion!$B$4:$B$724,D$2)</f>
        <v>78873</v>
      </c>
      <c r="E30" s="5">
        <f>SUMIFS(Facturacion!$I$4:$I$724,Facturacion!$A$4:$A$724,$A30,Facturacion!$B$4:$B$724,E$2)</f>
        <v>71703</v>
      </c>
      <c r="F30" s="5">
        <f>SUMIFS(Facturacion!$I$4:$I$724,Facturacion!$A$4:$A$724,$A30,Facturacion!$B$4:$B$724,F$2)</f>
        <v>265300</v>
      </c>
      <c r="G30" s="5">
        <f>SUMIFS(Facturacion!$I$4:$I$724,Facturacion!$A$4:$A$724,$A30,Facturacion!$B$4:$B$724,G$2)</f>
        <v>0</v>
      </c>
      <c r="H30" s="5">
        <f>SUMIFS(Facturacion!$I$4:$I$724,Facturacion!$A$4:$A$724,$A30,Facturacion!$B$4:$B$724,H$2)</f>
        <v>21511</v>
      </c>
      <c r="I30" s="5">
        <f>SUMIFS(Facturacion!$I$4:$I$724,Facturacion!$A$4:$A$724,$A30,Facturacion!$B$4:$B$724,I$2)</f>
        <v>114724</v>
      </c>
      <c r="J30" s="5">
        <f>SUMIFS(Facturacion!$I$4:$I$724,Facturacion!$A$4:$A$724,$A30,Facturacion!$B$4:$B$724,J$2)</f>
        <v>0</v>
      </c>
      <c r="K30" s="5">
        <f>SUMIFS(Facturacion!$I$4:$I$724,Facturacion!$A$4:$A$724,$A30,Facturacion!$B$4:$B$724,K$2)</f>
        <v>258130</v>
      </c>
      <c r="L30" s="5">
        <f>SUMIFS(Facturacion!$I$4:$I$724,Facturacion!$A$4:$A$724,$A30,Facturacion!$B$4:$B$724,L$2)</f>
        <v>0</v>
      </c>
      <c r="M30" s="5">
        <f>SUMIFS(Facturacion!$I$4:$I$724,Facturacion!$A$4:$A$724,$A30,Facturacion!$B$4:$B$724,M$2)</f>
        <v>0</v>
      </c>
      <c r="N30" s="11">
        <f t="shared" si="0"/>
        <v>1986163</v>
      </c>
    </row>
    <row r="31" spans="1:14" x14ac:dyDescent="0.3">
      <c r="A31" s="4">
        <v>46023</v>
      </c>
      <c r="B31" s="5">
        <f>SUMIFS(Facturacion!$I$4:$I$724,Facturacion!$A$4:$A$724,$A31,Facturacion!$B$4:$B$724,B$2)</f>
        <v>817409</v>
      </c>
      <c r="C31" s="5">
        <f>SUMIFS(Facturacion!$I$4:$I$724,Facturacion!$A$4:$A$724,$A31,Facturacion!$B$4:$B$724,C$2)</f>
        <v>114724</v>
      </c>
      <c r="D31" s="5">
        <f>SUMIFS(Facturacion!$I$4:$I$724,Facturacion!$A$4:$A$724,$A31,Facturacion!$B$4:$B$724,D$2)</f>
        <v>31549</v>
      </c>
      <c r="E31" s="5">
        <f>SUMIFS(Facturacion!$I$4:$I$724,Facturacion!$A$4:$A$724,$A31,Facturacion!$B$4:$B$724,E$2)</f>
        <v>21511</v>
      </c>
      <c r="F31" s="5">
        <f>SUMIFS(Facturacion!$I$4:$I$724,Facturacion!$A$4:$A$724,$A31,Facturacion!$B$4:$B$724,F$2)</f>
        <v>437385</v>
      </c>
      <c r="G31" s="5">
        <f>SUMIFS(Facturacion!$I$4:$I$724,Facturacion!$A$4:$A$724,$A31,Facturacion!$B$4:$B$724,G$2)</f>
        <v>0</v>
      </c>
      <c r="H31" s="5">
        <f>SUMIFS(Facturacion!$I$4:$I$724,Facturacion!$A$4:$A$724,$A31,Facturacion!$B$4:$B$724,H$2)</f>
        <v>21511</v>
      </c>
      <c r="I31" s="5">
        <f>SUMIFS(Facturacion!$I$4:$I$724,Facturacion!$A$4:$A$724,$A31,Facturacion!$B$4:$B$724,I$2)</f>
        <v>35851</v>
      </c>
      <c r="J31" s="5">
        <f>SUMIFS(Facturacion!$I$4:$I$724,Facturacion!$A$4:$A$724,$A31,Facturacion!$B$4:$B$724,J$2)</f>
        <v>0</v>
      </c>
      <c r="K31" s="5">
        <f>SUMIFS(Facturacion!$I$4:$I$724,Facturacion!$A$4:$A$724,$A31,Facturacion!$B$4:$B$724,K$2)</f>
        <v>272470</v>
      </c>
      <c r="L31" s="5">
        <f>SUMIFS(Facturacion!$I$4:$I$724,Facturacion!$A$4:$A$724,$A31,Facturacion!$B$4:$B$724,L$2)</f>
        <v>0</v>
      </c>
      <c r="M31" s="5">
        <f>SUMIFS(Facturacion!$I$4:$I$724,Facturacion!$A$4:$A$724,$A31,Facturacion!$B$4:$B$724,M$2)</f>
        <v>0</v>
      </c>
      <c r="N31" s="11">
        <f t="shared" si="0"/>
        <v>1752410</v>
      </c>
    </row>
    <row r="32" spans="1:14" x14ac:dyDescent="0.3">
      <c r="A32" s="4">
        <v>46054</v>
      </c>
      <c r="B32" s="5">
        <f>SUMIFS(Facturacion!$I$4:$I$724,Facturacion!$A$4:$A$724,$A32,Facturacion!$B$4:$B$724,B$2)</f>
        <v>817409</v>
      </c>
      <c r="C32" s="5">
        <f>SUMIFS(Facturacion!$I$4:$I$724,Facturacion!$A$4:$A$724,$A32,Facturacion!$B$4:$B$724,C$2)</f>
        <v>136235</v>
      </c>
      <c r="D32" s="5">
        <f>SUMIFS(Facturacion!$I$4:$I$724,Facturacion!$A$4:$A$724,$A32,Facturacion!$B$4:$B$724,D$2)</f>
        <v>39437</v>
      </c>
      <c r="E32" s="5">
        <f>SUMIFS(Facturacion!$I$4:$I$724,Facturacion!$A$4:$A$724,$A32,Facturacion!$B$4:$B$724,E$2)</f>
        <v>43022</v>
      </c>
      <c r="F32" s="5">
        <f>SUMIFS(Facturacion!$I$4:$I$724,Facturacion!$A$4:$A$724,$A32,Facturacion!$B$4:$B$724,F$2)</f>
        <v>301151</v>
      </c>
      <c r="G32" s="5">
        <f>SUMIFS(Facturacion!$I$4:$I$724,Facturacion!$A$4:$A$724,$A32,Facturacion!$B$4:$B$724,G$2)</f>
        <v>0</v>
      </c>
      <c r="H32" s="5">
        <f>SUMIFS(Facturacion!$I$4:$I$724,Facturacion!$A$4:$A$724,$A32,Facturacion!$B$4:$B$724,H$2)</f>
        <v>35852</v>
      </c>
      <c r="I32" s="5">
        <f>SUMIFS(Facturacion!$I$4:$I$724,Facturacion!$A$4:$A$724,$A32,Facturacion!$B$4:$B$724,I$2)</f>
        <v>50192</v>
      </c>
      <c r="J32" s="5">
        <f>SUMIFS(Facturacion!$I$4:$I$724,Facturacion!$A$4:$A$724,$A32,Facturacion!$B$4:$B$724,J$2)</f>
        <v>0</v>
      </c>
      <c r="K32" s="5">
        <f>SUMIFS(Facturacion!$I$4:$I$724,Facturacion!$A$4:$A$724,$A32,Facturacion!$B$4:$B$724,K$2)</f>
        <v>222279</v>
      </c>
      <c r="L32" s="5">
        <f>SUMIFS(Facturacion!$I$4:$I$724,Facturacion!$A$4:$A$724,$A32,Facturacion!$B$4:$B$724,L$2)</f>
        <v>0</v>
      </c>
      <c r="M32" s="5">
        <f>SUMIFS(Facturacion!$I$4:$I$724,Facturacion!$A$4:$A$724,$A32,Facturacion!$B$4:$B$724,M$2)</f>
        <v>45173</v>
      </c>
      <c r="N32" s="11">
        <f t="shared" si="0"/>
        <v>1690750</v>
      </c>
    </row>
    <row r="33" spans="1:14" x14ac:dyDescent="0.3">
      <c r="A33" s="4">
        <v>46082</v>
      </c>
      <c r="B33" s="5">
        <f>SUMIFS(Facturacion!$I$4:$I$724,Facturacion!$A$4:$A$724,$A33,Facturacion!$B$4:$B$724,B$2)</f>
        <v>745706</v>
      </c>
      <c r="C33" s="5">
        <f>SUMIFS(Facturacion!$I$4:$I$724,Facturacion!$A$4:$A$724,$A33,Facturacion!$B$4:$B$724,C$2)</f>
        <v>337002</v>
      </c>
      <c r="D33" s="5">
        <f>SUMIFS(Facturacion!$I$4:$I$724,Facturacion!$A$4:$A$724,$A33,Facturacion!$B$4:$B$724,D$2)</f>
        <v>23662</v>
      </c>
      <c r="E33" s="5">
        <f>SUMIFS(Facturacion!$I$4:$I$724,Facturacion!$A$4:$A$724,$A33,Facturacion!$B$4:$B$724,E$2)</f>
        <v>21511</v>
      </c>
      <c r="F33" s="5">
        <f>SUMIFS(Facturacion!$I$4:$I$724,Facturacion!$A$4:$A$724,$A33,Facturacion!$B$4:$B$724,F$2)</f>
        <v>215108</v>
      </c>
      <c r="G33" s="5">
        <f>SUMIFS(Facturacion!$I$4:$I$724,Facturacion!$A$4:$A$724,$A33,Facturacion!$B$4:$B$724,G$2)</f>
        <v>57721</v>
      </c>
      <c r="H33" s="5">
        <f>SUMIFS(Facturacion!$I$4:$I$724,Facturacion!$A$4:$A$724,$A33,Facturacion!$B$4:$B$724,H$2)</f>
        <v>71703</v>
      </c>
      <c r="I33" s="5">
        <f>SUMIFS(Facturacion!$I$4:$I$724,Facturacion!$A$4:$A$724,$A33,Facturacion!$B$4:$B$724,I$2)</f>
        <v>78873</v>
      </c>
      <c r="J33" s="5">
        <f>SUMIFS(Facturacion!$I$4:$I$724,Facturacion!$A$4:$A$724,$A33,Facturacion!$B$4:$B$724,J$2)</f>
        <v>47324</v>
      </c>
      <c r="K33" s="5">
        <f>SUMIFS(Facturacion!$I$4:$I$724,Facturacion!$A$4:$A$724,$A33,Facturacion!$B$4:$B$724,K$2)</f>
        <v>229448</v>
      </c>
      <c r="L33" s="5">
        <f>SUMIFS(Facturacion!$I$4:$I$724,Facturacion!$A$4:$A$724,$A33,Facturacion!$B$4:$B$724,L$2)</f>
        <v>50192</v>
      </c>
      <c r="M33" s="5">
        <f>SUMIFS(Facturacion!$I$4:$I$724,Facturacion!$A$4:$A$724,$A33,Facturacion!$B$4:$B$724,M$2)</f>
        <v>75288</v>
      </c>
      <c r="N33" s="11">
        <f t="shared" si="0"/>
        <v>1953538</v>
      </c>
    </row>
    <row r="34" spans="1:14" x14ac:dyDescent="0.3">
      <c r="A34" s="4">
        <v>46113</v>
      </c>
      <c r="B34" s="5">
        <f>SUMIFS(Facturacion!$I$4:$I$724,Facturacion!$A$4:$A$724,$A34,Facturacion!$B$4:$B$724,B$2)</f>
        <v>731366</v>
      </c>
      <c r="C34" s="5">
        <f>SUMIFS(Facturacion!$I$4:$I$724,Facturacion!$A$4:$A$724,$A34,Facturacion!$B$4:$B$724,C$2)</f>
        <v>114724</v>
      </c>
      <c r="D34" s="5">
        <f>SUMIFS(Facturacion!$I$4:$I$724,Facturacion!$A$4:$A$724,$A34,Facturacion!$B$4:$B$724,D$2)</f>
        <v>31549</v>
      </c>
      <c r="E34" s="5">
        <f>SUMIFS(Facturacion!$I$4:$I$724,Facturacion!$A$4:$A$724,$A34,Facturacion!$B$4:$B$724,E$2)</f>
        <v>28681</v>
      </c>
      <c r="F34" s="5">
        <f>SUMIFS(Facturacion!$I$4:$I$724,Facturacion!$A$4:$A$724,$A34,Facturacion!$B$4:$B$724,F$2)</f>
        <v>222278</v>
      </c>
      <c r="G34" s="5">
        <f>SUMIFS(Facturacion!$I$4:$I$724,Facturacion!$A$4:$A$724,$A34,Facturacion!$B$4:$B$724,G$2)</f>
        <v>98949</v>
      </c>
      <c r="H34" s="5">
        <f>SUMIFS(Facturacion!$I$4:$I$724,Facturacion!$A$4:$A$724,$A34,Facturacion!$B$4:$B$724,H$2)</f>
        <v>86043</v>
      </c>
      <c r="I34" s="5">
        <f>SUMIFS(Facturacion!$I$4:$I$724,Facturacion!$A$4:$A$724,$A34,Facturacion!$B$4:$B$724,I$2)</f>
        <v>35851</v>
      </c>
      <c r="J34" s="5">
        <f>SUMIFS(Facturacion!$I$4:$I$724,Facturacion!$A$4:$A$724,$A34,Facturacion!$B$4:$B$724,J$2)</f>
        <v>0</v>
      </c>
      <c r="K34" s="5">
        <f>SUMIFS(Facturacion!$I$4:$I$724,Facturacion!$A$4:$A$724,$A34,Facturacion!$B$4:$B$724,K$2)</f>
        <v>222278</v>
      </c>
      <c r="L34" s="5">
        <f>SUMIFS(Facturacion!$I$4:$I$724,Facturacion!$A$4:$A$724,$A34,Facturacion!$B$4:$B$724,L$2)</f>
        <v>0</v>
      </c>
      <c r="M34" s="5">
        <f>SUMIFS(Facturacion!$I$4:$I$724,Facturacion!$A$4:$A$724,$A34,Facturacion!$B$4:$B$724,M$2)</f>
        <v>0</v>
      </c>
      <c r="N34" s="11">
        <f t="shared" si="0"/>
        <v>1571719</v>
      </c>
    </row>
    <row r="35" spans="1:14" x14ac:dyDescent="0.3">
      <c r="A35" s="4">
        <v>46143</v>
      </c>
      <c r="B35" s="5">
        <f>SUMIFS(Facturacion!$I$4:$I$724,Facturacion!$A$4:$A$724,$A35,Facturacion!$B$4:$B$724,B$2)</f>
        <v>760047</v>
      </c>
      <c r="C35" s="5">
        <f>SUMIFS(Facturacion!$I$4:$I$724,Facturacion!$A$4:$A$724,$A35,Facturacion!$B$4:$B$724,C$2)</f>
        <v>129064</v>
      </c>
      <c r="D35" s="5">
        <f>SUMIFS(Facturacion!$I$4:$I$724,Facturacion!$A$4:$A$724,$A35,Facturacion!$B$4:$B$724,D$2)</f>
        <v>23662</v>
      </c>
      <c r="E35" s="5">
        <f>SUMIFS(Facturacion!$I$4:$I$724,Facturacion!$A$4:$A$724,$A35,Facturacion!$B$4:$B$724,E$2)</f>
        <v>28681</v>
      </c>
      <c r="F35" s="5">
        <f>SUMIFS(Facturacion!$I$4:$I$724,Facturacion!$A$4:$A$724,$A35,Facturacion!$B$4:$B$724,F$2)</f>
        <v>215108</v>
      </c>
      <c r="G35" s="5">
        <f>SUMIFS(Facturacion!$I$4:$I$724,Facturacion!$A$4:$A$724,$A35,Facturacion!$B$4:$B$724,G$2)</f>
        <v>0</v>
      </c>
      <c r="H35" s="5">
        <f>SUMIFS(Facturacion!$I$4:$I$724,Facturacion!$A$4:$A$724,$A35,Facturacion!$B$4:$B$724,H$2)</f>
        <v>28681</v>
      </c>
      <c r="I35" s="5">
        <f>SUMIFS(Facturacion!$I$4:$I$724,Facturacion!$A$4:$A$724,$A35,Facturacion!$B$4:$B$724,I$2)</f>
        <v>28681</v>
      </c>
      <c r="J35" s="5">
        <f>SUMIFS(Facturacion!$I$4:$I$724,Facturacion!$A$4:$A$724,$A35,Facturacion!$B$4:$B$724,J$2)</f>
        <v>0</v>
      </c>
      <c r="K35" s="5">
        <f>SUMIFS(Facturacion!$I$4:$I$724,Facturacion!$A$4:$A$724,$A35,Facturacion!$B$4:$B$724,K$2)</f>
        <v>222278</v>
      </c>
      <c r="L35" s="5">
        <f>SUMIFS(Facturacion!$I$4:$I$724,Facturacion!$A$4:$A$724,$A35,Facturacion!$B$4:$B$724,L$2)</f>
        <v>0</v>
      </c>
      <c r="M35" s="5">
        <f>SUMIFS(Facturacion!$I$4:$I$724,Facturacion!$A$4:$A$724,$A35,Facturacion!$B$4:$B$724,M$2)</f>
        <v>0</v>
      </c>
      <c r="N35" s="11">
        <f t="shared" si="0"/>
        <v>1436202</v>
      </c>
    </row>
    <row r="36" spans="1:14" x14ac:dyDescent="0.3">
      <c r="A36" s="4">
        <v>46174</v>
      </c>
      <c r="B36" s="5">
        <f>SUMIFS(Facturacion!$I$4:$I$724,Facturacion!$A$4:$A$724,$A36,Facturacion!$B$4:$B$724,B$2)</f>
        <v>1147240</v>
      </c>
      <c r="C36" s="5">
        <f>SUMIFS(Facturacion!$I$4:$I$724,Facturacion!$A$4:$A$724,$A36,Facturacion!$B$4:$B$724,C$2)</f>
        <v>129065</v>
      </c>
      <c r="D36" s="5">
        <f>SUMIFS(Facturacion!$I$4:$I$724,Facturacion!$A$4:$A$724,$A36,Facturacion!$B$4:$B$724,D$2)</f>
        <v>23662</v>
      </c>
      <c r="E36" s="5">
        <f>SUMIFS(Facturacion!$I$4:$I$724,Facturacion!$A$4:$A$724,$A36,Facturacion!$B$4:$B$724,E$2)</f>
        <v>28681</v>
      </c>
      <c r="F36" s="5">
        <f>SUMIFS(Facturacion!$I$4:$I$724,Facturacion!$A$4:$A$724,$A36,Facturacion!$B$4:$B$724,F$2)</f>
        <v>215108</v>
      </c>
      <c r="G36" s="5">
        <f>SUMIFS(Facturacion!$I$4:$I$724,Facturacion!$A$4:$A$724,$A36,Facturacion!$B$4:$B$724,G$2)</f>
        <v>0</v>
      </c>
      <c r="H36" s="5">
        <f>SUMIFS(Facturacion!$I$4:$I$724,Facturacion!$A$4:$A$724,$A36,Facturacion!$B$4:$B$724,H$2)</f>
        <v>28681</v>
      </c>
      <c r="I36" s="5">
        <f>SUMIFS(Facturacion!$I$4:$I$724,Facturacion!$A$4:$A$724,$A36,Facturacion!$B$4:$B$724,I$2)</f>
        <v>35851</v>
      </c>
      <c r="J36" s="5">
        <f>SUMIFS(Facturacion!$I$4:$I$724,Facturacion!$A$4:$A$724,$A36,Facturacion!$B$4:$B$724,J$2)</f>
        <v>0</v>
      </c>
      <c r="K36" s="5">
        <f>SUMIFS(Facturacion!$I$4:$I$724,Facturacion!$A$4:$A$724,$A36,Facturacion!$B$4:$B$724,K$2)</f>
        <v>229448</v>
      </c>
      <c r="L36" s="5">
        <f>SUMIFS(Facturacion!$I$4:$I$724,Facturacion!$A$4:$A$724,$A36,Facturacion!$B$4:$B$724,L$2)</f>
        <v>0</v>
      </c>
      <c r="M36" s="5">
        <f>SUMIFS(Facturacion!$I$4:$I$724,Facturacion!$A$4:$A$724,$A36,Facturacion!$B$4:$B$724,M$2)</f>
        <v>0</v>
      </c>
      <c r="N36" s="11">
        <f t="shared" si="0"/>
        <v>1837736</v>
      </c>
    </row>
    <row r="37" spans="1:14" x14ac:dyDescent="0.3">
      <c r="A37" s="4">
        <v>46204</v>
      </c>
      <c r="B37" s="5">
        <f>SUMIFS(Facturacion!$I$4:$I$724,Facturacion!$A$4:$A$724,$A37,Facturacion!$B$4:$B$724,B$2)</f>
        <v>745706</v>
      </c>
      <c r="C37" s="5">
        <f>SUMIFS(Facturacion!$I$4:$I$724,Facturacion!$A$4:$A$724,$A37,Facturacion!$B$4:$B$724,C$2)</f>
        <v>129065</v>
      </c>
      <c r="D37" s="5">
        <f>SUMIFS(Facturacion!$I$4:$I$724,Facturacion!$A$4:$A$724,$A37,Facturacion!$B$4:$B$724,D$2)</f>
        <v>23662</v>
      </c>
      <c r="E37" s="5">
        <f>SUMIFS(Facturacion!$I$4:$I$724,Facturacion!$A$4:$A$724,$A37,Facturacion!$B$4:$B$724,E$2)</f>
        <v>28681</v>
      </c>
      <c r="F37" s="5">
        <f>SUMIFS(Facturacion!$I$4:$I$724,Facturacion!$A$4:$A$724,$A37,Facturacion!$B$4:$B$724,F$2)</f>
        <v>215108</v>
      </c>
      <c r="G37" s="5">
        <f>SUMIFS(Facturacion!$I$4:$I$724,Facturacion!$A$4:$A$724,$A37,Facturacion!$B$4:$B$724,G$2)</f>
        <v>0</v>
      </c>
      <c r="H37" s="5">
        <f>SUMIFS(Facturacion!$I$4:$I$724,Facturacion!$A$4:$A$724,$A37,Facturacion!$B$4:$B$724,H$2)</f>
        <v>28681</v>
      </c>
      <c r="I37" s="5">
        <f>SUMIFS(Facturacion!$I$4:$I$724,Facturacion!$A$4:$A$724,$A37,Facturacion!$B$4:$B$724,I$2)</f>
        <v>57362</v>
      </c>
      <c r="J37" s="5">
        <f>SUMIFS(Facturacion!$I$4:$I$724,Facturacion!$A$4:$A$724,$A37,Facturacion!$B$4:$B$724,J$2)</f>
        <v>0</v>
      </c>
      <c r="K37" s="5">
        <f>SUMIFS(Facturacion!$I$4:$I$724,Facturacion!$A$4:$A$724,$A37,Facturacion!$B$4:$B$724,K$2)</f>
        <v>222278</v>
      </c>
      <c r="L37" s="5">
        <f>SUMIFS(Facturacion!$I$4:$I$724,Facturacion!$A$4:$A$724,$A37,Facturacion!$B$4:$B$724,L$2)</f>
        <v>0</v>
      </c>
      <c r="M37" s="5">
        <f>SUMIFS(Facturacion!$I$4:$I$724,Facturacion!$A$4:$A$724,$A37,Facturacion!$B$4:$B$724,M$2)</f>
        <v>0</v>
      </c>
      <c r="N37" s="11">
        <f t="shared" si="0"/>
        <v>1450543</v>
      </c>
    </row>
    <row r="38" spans="1:14" x14ac:dyDescent="0.3">
      <c r="A38" s="4">
        <v>46235</v>
      </c>
      <c r="B38" s="5">
        <f>SUMIFS(Facturacion!$I$4:$I$724,Facturacion!$A$4:$A$724,$A38,Facturacion!$B$4:$B$724,B$2)</f>
        <v>788728</v>
      </c>
      <c r="C38" s="5">
        <f>SUMIFS(Facturacion!$I$4:$I$724,Facturacion!$A$4:$A$724,$A38,Facturacion!$B$4:$B$724,C$2)</f>
        <v>129065</v>
      </c>
      <c r="D38" s="5">
        <f>SUMIFS(Facturacion!$I$4:$I$724,Facturacion!$A$4:$A$724,$A38,Facturacion!$B$4:$B$724,D$2)</f>
        <v>23662</v>
      </c>
      <c r="E38" s="5">
        <f>SUMIFS(Facturacion!$I$4:$I$724,Facturacion!$A$4:$A$724,$A38,Facturacion!$B$4:$B$724,E$2)</f>
        <v>28681</v>
      </c>
      <c r="F38" s="5">
        <f>SUMIFS(Facturacion!$I$4:$I$724,Facturacion!$A$4:$A$724,$A38,Facturacion!$B$4:$B$724,F$2)</f>
        <v>222278</v>
      </c>
      <c r="G38" s="5">
        <f>SUMIFS(Facturacion!$I$4:$I$724,Facturacion!$A$4:$A$724,$A38,Facturacion!$B$4:$B$724,G$2)</f>
        <v>49475</v>
      </c>
      <c r="H38" s="5">
        <f>SUMIFS(Facturacion!$I$4:$I$724,Facturacion!$A$4:$A$724,$A38,Facturacion!$B$4:$B$724,H$2)</f>
        <v>21511</v>
      </c>
      <c r="I38" s="5">
        <f>SUMIFS(Facturacion!$I$4:$I$724,Facturacion!$A$4:$A$724,$A38,Facturacion!$B$4:$B$724,I$2)</f>
        <v>28681</v>
      </c>
      <c r="J38" s="5">
        <f>SUMIFS(Facturacion!$I$4:$I$724,Facturacion!$A$4:$A$724,$A38,Facturacion!$B$4:$B$724,J$2)</f>
        <v>0</v>
      </c>
      <c r="K38" s="5">
        <f>SUMIFS(Facturacion!$I$4:$I$724,Facturacion!$A$4:$A$724,$A38,Facturacion!$B$4:$B$724,K$2)</f>
        <v>236619</v>
      </c>
      <c r="L38" s="5">
        <f>SUMIFS(Facturacion!$I$4:$I$724,Facturacion!$A$4:$A$724,$A38,Facturacion!$B$4:$B$724,L$2)</f>
        <v>0</v>
      </c>
      <c r="M38" s="5">
        <f>SUMIFS(Facturacion!$I$4:$I$724,Facturacion!$A$4:$A$724,$A38,Facturacion!$B$4:$B$724,M$2)</f>
        <v>0</v>
      </c>
      <c r="N38" s="11">
        <f t="shared" si="0"/>
        <v>1528700</v>
      </c>
    </row>
    <row r="39" spans="1:14" x14ac:dyDescent="0.3">
      <c r="A39" s="4">
        <v>46266</v>
      </c>
      <c r="B39" s="5">
        <f>SUMIFS(Facturacion!$I$4:$I$724,Facturacion!$A$4:$A$724,$A39,Facturacion!$B$4:$B$724,B$2)</f>
        <v>788728</v>
      </c>
      <c r="C39" s="5">
        <f>SUMIFS(Facturacion!$I$4:$I$724,Facturacion!$A$4:$A$724,$A39,Facturacion!$B$4:$B$724,C$2)</f>
        <v>136235</v>
      </c>
      <c r="D39" s="5">
        <f>SUMIFS(Facturacion!$I$4:$I$724,Facturacion!$A$4:$A$724,$A39,Facturacion!$B$4:$B$724,D$2)</f>
        <v>23662</v>
      </c>
      <c r="E39" s="5">
        <f>SUMIFS(Facturacion!$I$4:$I$724,Facturacion!$A$4:$A$724,$A39,Facturacion!$B$4:$B$724,E$2)</f>
        <v>28681</v>
      </c>
      <c r="F39" s="5">
        <f>SUMIFS(Facturacion!$I$4:$I$724,Facturacion!$A$4:$A$724,$A39,Facturacion!$B$4:$B$724,F$2)</f>
        <v>215108</v>
      </c>
      <c r="G39" s="5">
        <f>SUMIFS(Facturacion!$I$4:$I$724,Facturacion!$A$4:$A$724,$A39,Facturacion!$B$4:$B$724,G$2)</f>
        <v>32983</v>
      </c>
      <c r="H39" s="5">
        <f>SUMIFS(Facturacion!$I$4:$I$724,Facturacion!$A$4:$A$724,$A39,Facturacion!$B$4:$B$724,H$2)</f>
        <v>21511</v>
      </c>
      <c r="I39" s="5">
        <f>SUMIFS(Facturacion!$I$4:$I$724,Facturacion!$A$4:$A$724,$A39,Facturacion!$B$4:$B$724,I$2)</f>
        <v>35851</v>
      </c>
      <c r="J39" s="5">
        <f>SUMIFS(Facturacion!$I$4:$I$724,Facturacion!$A$4:$A$724,$A39,Facturacion!$B$4:$B$724,J$2)</f>
        <v>0</v>
      </c>
      <c r="K39" s="5">
        <f>SUMIFS(Facturacion!$I$4:$I$724,Facturacion!$A$4:$A$724,$A39,Facturacion!$B$4:$B$724,K$2)</f>
        <v>258129</v>
      </c>
      <c r="L39" s="5">
        <f>SUMIFS(Facturacion!$I$4:$I$724,Facturacion!$A$4:$A$724,$A39,Facturacion!$B$4:$B$724,L$2)</f>
        <v>0</v>
      </c>
      <c r="M39" s="5">
        <f>SUMIFS(Facturacion!$I$4:$I$724,Facturacion!$A$4:$A$724,$A39,Facturacion!$B$4:$B$724,M$2)</f>
        <v>0</v>
      </c>
      <c r="N39" s="11">
        <f t="shared" si="0"/>
        <v>1540888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724"/>
  <sheetViews>
    <sheetView zoomScaleNormal="100" workbookViewId="0">
      <pane ySplit="3" topLeftCell="A4" activePane="bottomLeft" state="frozen"/>
      <selection pane="bottomLeft"/>
    </sheetView>
  </sheetViews>
  <sheetFormatPr baseColWidth="10" defaultColWidth="8.6640625" defaultRowHeight="14.4" x14ac:dyDescent="0.3"/>
  <cols>
    <col min="1" max="1" width="11" customWidth="1"/>
    <col min="2" max="3" width="12" customWidth="1"/>
    <col min="4" max="4" width="34" customWidth="1"/>
    <col min="5" max="5" width="52" customWidth="1"/>
    <col min="6" max="6" width="9" customWidth="1"/>
    <col min="7" max="7" width="14" customWidth="1"/>
    <col min="8" max="8" width="12" customWidth="1"/>
    <col min="9" max="9" width="14" customWidth="1"/>
  </cols>
  <sheetData>
    <row r="1" spans="1:9" ht="16.8" x14ac:dyDescent="0.3">
      <c r="A1" s="1" t="s">
        <v>54</v>
      </c>
    </row>
    <row r="2" spans="1:9" x14ac:dyDescent="0.3">
      <c r="A2" s="12" t="s">
        <v>55</v>
      </c>
    </row>
    <row r="3" spans="1:9" ht="27.6" x14ac:dyDescent="0.3">
      <c r="A3" s="2" t="s">
        <v>1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  <c r="G3" s="2" t="s">
        <v>61</v>
      </c>
      <c r="H3" s="2" t="s">
        <v>62</v>
      </c>
      <c r="I3" s="2" t="s">
        <v>63</v>
      </c>
    </row>
    <row r="4" spans="1:9" x14ac:dyDescent="0.3">
      <c r="A4" s="13">
        <v>45200</v>
      </c>
      <c r="B4" t="s">
        <v>29</v>
      </c>
      <c r="C4" t="s">
        <v>64</v>
      </c>
      <c r="D4" t="str">
        <f>INDEX(Clientes!$B$4:$B$15,MATCH(B4,Clientes!$A$4:$A$15,0))</f>
        <v>Distribuidora Los Andes S.A.</v>
      </c>
      <c r="E4" t="str">
        <f>INDEX(Catalogo_Servicios!$C$4:$C$24,MATCH(C4,Catalogo_Servicios!$A$4:$A$24,0))</f>
        <v>Estados financieros mensuales</v>
      </c>
      <c r="F4" s="14">
        <v>3</v>
      </c>
      <c r="G4" s="15">
        <f>Parametros!$B$4</f>
        <v>28681</v>
      </c>
      <c r="H4" s="14">
        <f>INDEX(Clientes!$E$4:$E$15,MATCH(B4,Clientes!$A$4:$A$15,0))</f>
        <v>1</v>
      </c>
      <c r="I4" s="15">
        <f t="shared" ref="I4:I67" si="0">ROUND(F4*G4*H4,0)</f>
        <v>86043</v>
      </c>
    </row>
    <row r="5" spans="1:9" x14ac:dyDescent="0.3">
      <c r="A5" s="13">
        <v>45200</v>
      </c>
      <c r="B5" t="s">
        <v>29</v>
      </c>
      <c r="C5" t="s">
        <v>65</v>
      </c>
      <c r="D5" t="str">
        <f>INDEX(Clientes!$B$4:$B$15,MATCH(B5,Clientes!$A$4:$A$15,0))</f>
        <v>Distribuidora Los Andes S.A.</v>
      </c>
      <c r="E5" t="str">
        <f>INDEX(Catalogo_Servicios!$C$4:$C$24,MATCH(C5,Catalogo_Servicios!$A$4:$A$24,0))</f>
        <v>Declaración mensual de IVA (D-104)</v>
      </c>
      <c r="F5" s="14">
        <v>0.75</v>
      </c>
      <c r="G5" s="15">
        <f>Parametros!$B$4</f>
        <v>28681</v>
      </c>
      <c r="H5" s="14">
        <f>INDEX(Clientes!$E$4:$E$15,MATCH(B5,Clientes!$A$4:$A$15,0))</f>
        <v>1</v>
      </c>
      <c r="I5" s="15">
        <f t="shared" si="0"/>
        <v>21511</v>
      </c>
    </row>
    <row r="6" spans="1:9" x14ac:dyDescent="0.3">
      <c r="A6" s="13">
        <v>45200</v>
      </c>
      <c r="B6" t="s">
        <v>29</v>
      </c>
      <c r="C6" t="s">
        <v>66</v>
      </c>
      <c r="D6" t="str">
        <f>INDEX(Clientes!$B$4:$B$15,MATCH(B6,Clientes!$A$4:$A$15,0))</f>
        <v>Distribuidora Los Andes S.A.</v>
      </c>
      <c r="E6" t="str">
        <f>INDEX(Catalogo_Servicios!$C$4:$C$24,MATCH(C6,Catalogo_Servicios!$A$4:$A$24,0))</f>
        <v>Declaración mensual de retenciones (D-103)</v>
      </c>
      <c r="F6" s="14">
        <v>0.25</v>
      </c>
      <c r="G6" s="15">
        <f>Parametros!$B$4</f>
        <v>28681</v>
      </c>
      <c r="H6" s="14">
        <f>INDEX(Clientes!$E$4:$E$15,MATCH(B6,Clientes!$A$4:$A$15,0))</f>
        <v>1</v>
      </c>
      <c r="I6" s="15">
        <f t="shared" si="0"/>
        <v>7170</v>
      </c>
    </row>
    <row r="7" spans="1:9" x14ac:dyDescent="0.3">
      <c r="A7" s="13">
        <v>45200</v>
      </c>
      <c r="B7" t="s">
        <v>29</v>
      </c>
      <c r="C7" t="s">
        <v>67</v>
      </c>
      <c r="D7" t="str">
        <f>INDEX(Clientes!$B$4:$B$15,MATCH(B7,Clientes!$A$4:$A$15,0))</f>
        <v>Distribuidora Los Andes S.A.</v>
      </c>
      <c r="E7" t="str">
        <f>INDEX(Catalogo_Servicios!$C$4:$C$24,MATCH(C7,Catalogo_Servicios!$A$4:$A$24,0))</f>
        <v>Cálculo de planillas y cargas sociales (CCSS/INS)</v>
      </c>
      <c r="F7" s="14">
        <v>20</v>
      </c>
      <c r="G7" s="15">
        <f>Parametros!$B$4</f>
        <v>28681</v>
      </c>
      <c r="H7" s="14">
        <f>INDEX(Clientes!$E$4:$E$15,MATCH(B7,Clientes!$A$4:$A$15,0))</f>
        <v>1</v>
      </c>
      <c r="I7" s="15">
        <f t="shared" si="0"/>
        <v>573620</v>
      </c>
    </row>
    <row r="8" spans="1:9" x14ac:dyDescent="0.3">
      <c r="A8" s="13">
        <v>45200</v>
      </c>
      <c r="B8" t="s">
        <v>30</v>
      </c>
      <c r="C8" t="s">
        <v>64</v>
      </c>
      <c r="D8" t="str">
        <f>INDEX(Clientes!$B$4:$B$15,MATCH(B8,Clientes!$A$4:$A$15,0))</f>
        <v>Ferretería El Tornillo</v>
      </c>
      <c r="E8" t="str">
        <f>INDEX(Catalogo_Servicios!$C$4:$C$24,MATCH(C8,Catalogo_Servicios!$A$4:$A$24,0))</f>
        <v>Estados financieros mensuales</v>
      </c>
      <c r="F8" s="14">
        <v>2.75</v>
      </c>
      <c r="G8" s="15">
        <f>Parametros!$B$4</f>
        <v>28681</v>
      </c>
      <c r="H8" s="14">
        <f>INDEX(Clientes!$E$4:$E$15,MATCH(B8,Clientes!$A$4:$A$15,0))</f>
        <v>1</v>
      </c>
      <c r="I8" s="15">
        <f t="shared" si="0"/>
        <v>78873</v>
      </c>
    </row>
    <row r="9" spans="1:9" x14ac:dyDescent="0.3">
      <c r="A9" s="13">
        <v>45200</v>
      </c>
      <c r="B9" t="s">
        <v>30</v>
      </c>
      <c r="C9" t="s">
        <v>65</v>
      </c>
      <c r="D9" t="str">
        <f>INDEX(Clientes!$B$4:$B$15,MATCH(B9,Clientes!$A$4:$A$15,0))</f>
        <v>Ferretería El Tornillo</v>
      </c>
      <c r="E9" t="str">
        <f>INDEX(Catalogo_Servicios!$C$4:$C$24,MATCH(C9,Catalogo_Servicios!$A$4:$A$24,0))</f>
        <v>Declaración mensual de IVA (D-104)</v>
      </c>
      <c r="F9" s="14">
        <v>0.75</v>
      </c>
      <c r="G9" s="15">
        <f>Parametros!$B$4</f>
        <v>28681</v>
      </c>
      <c r="H9" s="14">
        <f>INDEX(Clientes!$E$4:$E$15,MATCH(B9,Clientes!$A$4:$A$15,0))</f>
        <v>1</v>
      </c>
      <c r="I9" s="15">
        <f t="shared" si="0"/>
        <v>21511</v>
      </c>
    </row>
    <row r="10" spans="1:9" x14ac:dyDescent="0.3">
      <c r="A10" s="13">
        <v>45200</v>
      </c>
      <c r="B10" t="s">
        <v>30</v>
      </c>
      <c r="C10" t="s">
        <v>66</v>
      </c>
      <c r="D10" t="str">
        <f>INDEX(Clientes!$B$4:$B$15,MATCH(B10,Clientes!$A$4:$A$15,0))</f>
        <v>Ferretería El Tornillo</v>
      </c>
      <c r="E10" t="str">
        <f>INDEX(Catalogo_Servicios!$C$4:$C$24,MATCH(C10,Catalogo_Servicios!$A$4:$A$24,0))</f>
        <v>Declaración mensual de retenciones (D-103)</v>
      </c>
      <c r="F10" s="14">
        <v>0.25</v>
      </c>
      <c r="G10" s="15">
        <f>Parametros!$B$4</f>
        <v>28681</v>
      </c>
      <c r="H10" s="14">
        <f>INDEX(Clientes!$E$4:$E$15,MATCH(B10,Clientes!$A$4:$A$15,0))</f>
        <v>1</v>
      </c>
      <c r="I10" s="15">
        <f t="shared" si="0"/>
        <v>7170</v>
      </c>
    </row>
    <row r="11" spans="1:9" x14ac:dyDescent="0.3">
      <c r="A11" s="13">
        <v>45200</v>
      </c>
      <c r="B11" t="s">
        <v>31</v>
      </c>
      <c r="C11" t="s">
        <v>65</v>
      </c>
      <c r="D11" t="str">
        <f>INDEX(Clientes!$B$4:$B$15,MATCH(B11,Clientes!$A$4:$A$15,0))</f>
        <v>Clínica Dental Sonrisa</v>
      </c>
      <c r="E11" t="str">
        <f>INDEX(Catalogo_Servicios!$C$4:$C$24,MATCH(C11,Catalogo_Servicios!$A$4:$A$24,0))</f>
        <v>Declaración mensual de IVA (D-104)</v>
      </c>
      <c r="F11" s="14">
        <v>0.75</v>
      </c>
      <c r="G11" s="15">
        <f>Parametros!$B$4</f>
        <v>28681</v>
      </c>
      <c r="H11" s="14">
        <f>INDEX(Clientes!$E$4:$E$15,MATCH(B11,Clientes!$A$4:$A$15,0))</f>
        <v>1.1000000000000001</v>
      </c>
      <c r="I11" s="15">
        <f t="shared" si="0"/>
        <v>23662</v>
      </c>
    </row>
    <row r="12" spans="1:9" x14ac:dyDescent="0.3">
      <c r="A12" s="13">
        <v>45200</v>
      </c>
      <c r="B12" t="s">
        <v>32</v>
      </c>
      <c r="C12" t="s">
        <v>65</v>
      </c>
      <c r="D12" t="str">
        <f>INDEX(Clientes!$B$4:$B$15,MATCH(B12,Clientes!$A$4:$A$15,0))</f>
        <v>Soda y Restaurante Doña Lela</v>
      </c>
      <c r="E12" t="str">
        <f>INDEX(Catalogo_Servicios!$C$4:$C$24,MATCH(C12,Catalogo_Servicios!$A$4:$A$24,0))</f>
        <v>Declaración mensual de IVA (D-104)</v>
      </c>
      <c r="F12" s="14">
        <v>0.75</v>
      </c>
      <c r="G12" s="15">
        <f>Parametros!$B$4</f>
        <v>28681</v>
      </c>
      <c r="H12" s="14">
        <f>INDEX(Clientes!$E$4:$E$15,MATCH(B12,Clientes!$A$4:$A$15,0))</f>
        <v>1</v>
      </c>
      <c r="I12" s="15">
        <f t="shared" si="0"/>
        <v>21511</v>
      </c>
    </row>
    <row r="13" spans="1:9" x14ac:dyDescent="0.3">
      <c r="A13" s="13">
        <v>45200</v>
      </c>
      <c r="B13" t="s">
        <v>33</v>
      </c>
      <c r="C13" t="s">
        <v>68</v>
      </c>
      <c r="D13" t="str">
        <f>INDEX(Clientes!$B$4:$B$15,MATCH(B13,Clientes!$A$4:$A$15,0))</f>
        <v>Transportes Rápidos del Valle</v>
      </c>
      <c r="E13" t="str">
        <f>INDEX(Catalogo_Servicios!$C$4:$C$24,MATCH(C13,Catalogo_Servicios!$A$4:$A$24,0))</f>
        <v>Asesoría contable, financiera y tributaria</v>
      </c>
      <c r="F13" s="14">
        <v>1</v>
      </c>
      <c r="G13" s="15">
        <f>Parametros!$B$4</f>
        <v>28681</v>
      </c>
      <c r="H13" s="14">
        <f>INDEX(Clientes!$E$4:$E$15,MATCH(B13,Clientes!$A$4:$A$15,0))</f>
        <v>1</v>
      </c>
      <c r="I13" s="15">
        <f t="shared" si="0"/>
        <v>28681</v>
      </c>
    </row>
    <row r="14" spans="1:9" x14ac:dyDescent="0.3">
      <c r="A14" s="13">
        <v>45200</v>
      </c>
      <c r="B14" t="s">
        <v>33</v>
      </c>
      <c r="C14" t="s">
        <v>65</v>
      </c>
      <c r="D14" t="str">
        <f>INDEX(Clientes!$B$4:$B$15,MATCH(B14,Clientes!$A$4:$A$15,0))</f>
        <v>Transportes Rápidos del Valle</v>
      </c>
      <c r="E14" t="str">
        <f>INDEX(Catalogo_Servicios!$C$4:$C$24,MATCH(C14,Catalogo_Servicios!$A$4:$A$24,0))</f>
        <v>Declaración mensual de IVA (D-104)</v>
      </c>
      <c r="F14" s="14">
        <v>0.75</v>
      </c>
      <c r="G14" s="15">
        <f>Parametros!$B$4</f>
        <v>28681</v>
      </c>
      <c r="H14" s="14">
        <f>INDEX(Clientes!$E$4:$E$15,MATCH(B14,Clientes!$A$4:$A$15,0))</f>
        <v>1</v>
      </c>
      <c r="I14" s="15">
        <f t="shared" si="0"/>
        <v>21511</v>
      </c>
    </row>
    <row r="15" spans="1:9" x14ac:dyDescent="0.3">
      <c r="A15" s="13">
        <v>45200</v>
      </c>
      <c r="B15" t="s">
        <v>33</v>
      </c>
      <c r="C15" t="s">
        <v>66</v>
      </c>
      <c r="D15" t="str">
        <f>INDEX(Clientes!$B$4:$B$15,MATCH(B15,Clientes!$A$4:$A$15,0))</f>
        <v>Transportes Rápidos del Valle</v>
      </c>
      <c r="E15" t="str">
        <f>INDEX(Catalogo_Servicios!$C$4:$C$24,MATCH(C15,Catalogo_Servicios!$A$4:$A$24,0))</f>
        <v>Declaración mensual de retenciones (D-103)</v>
      </c>
      <c r="F15" s="14">
        <v>0.25</v>
      </c>
      <c r="G15" s="15">
        <f>Parametros!$B$4</f>
        <v>28681</v>
      </c>
      <c r="H15" s="14">
        <f>INDEX(Clientes!$E$4:$E$15,MATCH(B15,Clientes!$A$4:$A$15,0))</f>
        <v>1</v>
      </c>
      <c r="I15" s="15">
        <f t="shared" si="0"/>
        <v>7170</v>
      </c>
    </row>
    <row r="16" spans="1:9" x14ac:dyDescent="0.3">
      <c r="A16" s="13">
        <v>45200</v>
      </c>
      <c r="B16" t="s">
        <v>33</v>
      </c>
      <c r="C16" t="s">
        <v>67</v>
      </c>
      <c r="D16" t="str">
        <f>INDEX(Clientes!$B$4:$B$15,MATCH(B16,Clientes!$A$4:$A$15,0))</f>
        <v>Transportes Rápidos del Valle</v>
      </c>
      <c r="E16" t="str">
        <f>INDEX(Catalogo_Servicios!$C$4:$C$24,MATCH(C16,Catalogo_Servicios!$A$4:$A$24,0))</f>
        <v>Cálculo de planillas y cargas sociales (CCSS/INS)</v>
      </c>
      <c r="F16" s="14">
        <v>5.5</v>
      </c>
      <c r="G16" s="15">
        <f>Parametros!$B$4</f>
        <v>28681</v>
      </c>
      <c r="H16" s="14">
        <f>INDEX(Clientes!$E$4:$E$15,MATCH(B16,Clientes!$A$4:$A$15,0))</f>
        <v>1</v>
      </c>
      <c r="I16" s="15">
        <f t="shared" si="0"/>
        <v>157746</v>
      </c>
    </row>
    <row r="17" spans="1:9" x14ac:dyDescent="0.3">
      <c r="A17" s="13">
        <v>45200</v>
      </c>
      <c r="B17" t="s">
        <v>35</v>
      </c>
      <c r="C17" t="s">
        <v>65</v>
      </c>
      <c r="D17" t="str">
        <f>INDEX(Clientes!$B$4:$B$15,MATCH(B17,Clientes!$A$4:$A$15,0))</f>
        <v>Taller Mecánico Hermanos Mora</v>
      </c>
      <c r="E17" t="str">
        <f>INDEX(Catalogo_Servicios!$C$4:$C$24,MATCH(C17,Catalogo_Servicios!$A$4:$A$24,0))</f>
        <v>Declaración mensual de IVA (D-104)</v>
      </c>
      <c r="F17" s="14">
        <v>0.75</v>
      </c>
      <c r="G17" s="15">
        <f>Parametros!$B$4</f>
        <v>28681</v>
      </c>
      <c r="H17" s="14">
        <f>INDEX(Clientes!$E$4:$E$15,MATCH(B17,Clientes!$A$4:$A$15,0))</f>
        <v>1</v>
      </c>
      <c r="I17" s="15">
        <f t="shared" si="0"/>
        <v>21511</v>
      </c>
    </row>
    <row r="18" spans="1:9" x14ac:dyDescent="0.3">
      <c r="A18" s="13">
        <v>45200</v>
      </c>
      <c r="B18" t="s">
        <v>36</v>
      </c>
      <c r="C18" t="s">
        <v>65</v>
      </c>
      <c r="D18" t="str">
        <f>INDEX(Clientes!$B$4:$B$15,MATCH(B18,Clientes!$A$4:$A$15,0))</f>
        <v>Agroservicios Cartago</v>
      </c>
      <c r="E18" t="str">
        <f>INDEX(Catalogo_Servicios!$C$4:$C$24,MATCH(C18,Catalogo_Servicios!$A$4:$A$24,0))</f>
        <v>Declaración mensual de IVA (D-104)</v>
      </c>
      <c r="F18" s="14">
        <v>0.75</v>
      </c>
      <c r="G18" s="15">
        <f>Parametros!$B$4</f>
        <v>28681</v>
      </c>
      <c r="H18" s="14">
        <f>INDEX(Clientes!$E$4:$E$15,MATCH(B18,Clientes!$A$4:$A$15,0))</f>
        <v>1</v>
      </c>
      <c r="I18" s="15">
        <f t="shared" si="0"/>
        <v>21511</v>
      </c>
    </row>
    <row r="19" spans="1:9" x14ac:dyDescent="0.3">
      <c r="A19" s="13">
        <v>45200</v>
      </c>
      <c r="B19" t="s">
        <v>36</v>
      </c>
      <c r="C19" t="s">
        <v>66</v>
      </c>
      <c r="D19" t="str">
        <f>INDEX(Clientes!$B$4:$B$15,MATCH(B19,Clientes!$A$4:$A$15,0))</f>
        <v>Agroservicios Cartago</v>
      </c>
      <c r="E19" t="str">
        <f>INDEX(Catalogo_Servicios!$C$4:$C$24,MATCH(C19,Catalogo_Servicios!$A$4:$A$24,0))</f>
        <v>Declaración mensual de retenciones (D-103)</v>
      </c>
      <c r="F19" s="14">
        <v>0.25</v>
      </c>
      <c r="G19" s="15">
        <f>Parametros!$B$4</f>
        <v>28681</v>
      </c>
      <c r="H19" s="14">
        <f>INDEX(Clientes!$E$4:$E$15,MATCH(B19,Clientes!$A$4:$A$15,0))</f>
        <v>1</v>
      </c>
      <c r="I19" s="15">
        <f t="shared" si="0"/>
        <v>7170</v>
      </c>
    </row>
    <row r="20" spans="1:9" x14ac:dyDescent="0.3">
      <c r="A20" s="13">
        <v>45200</v>
      </c>
      <c r="B20" t="s">
        <v>38</v>
      </c>
      <c r="C20" t="s">
        <v>65</v>
      </c>
      <c r="D20" t="str">
        <f>INDEX(Clientes!$B$4:$B$15,MATCH(B20,Clientes!$A$4:$A$15,0))</f>
        <v>Panadería La Espiga</v>
      </c>
      <c r="E20" t="str">
        <f>INDEX(Catalogo_Servicios!$C$4:$C$24,MATCH(C20,Catalogo_Servicios!$A$4:$A$24,0))</f>
        <v>Declaración mensual de IVA (D-104)</v>
      </c>
      <c r="F20" s="14">
        <v>0.75</v>
      </c>
      <c r="G20" s="15">
        <f>Parametros!$B$4</f>
        <v>28681</v>
      </c>
      <c r="H20" s="14">
        <f>INDEX(Clientes!$E$4:$E$15,MATCH(B20,Clientes!$A$4:$A$15,0))</f>
        <v>1</v>
      </c>
      <c r="I20" s="15">
        <f t="shared" si="0"/>
        <v>21511</v>
      </c>
    </row>
    <row r="21" spans="1:9" x14ac:dyDescent="0.3">
      <c r="A21" s="13">
        <v>45200</v>
      </c>
      <c r="B21" t="s">
        <v>38</v>
      </c>
      <c r="C21" t="s">
        <v>67</v>
      </c>
      <c r="D21" t="str">
        <f>INDEX(Clientes!$B$4:$B$15,MATCH(B21,Clientes!$A$4:$A$15,0))</f>
        <v>Panadería La Espiga</v>
      </c>
      <c r="E21" t="str">
        <f>INDEX(Catalogo_Servicios!$C$4:$C$24,MATCH(C21,Catalogo_Servicios!$A$4:$A$24,0))</f>
        <v>Cálculo de planillas y cargas sociales (CCSS/INS)</v>
      </c>
      <c r="F21" s="14">
        <v>7</v>
      </c>
      <c r="G21" s="15">
        <f>Parametros!$B$4</f>
        <v>28681</v>
      </c>
      <c r="H21" s="14">
        <f>INDEX(Clientes!$E$4:$E$15,MATCH(B21,Clientes!$A$4:$A$15,0))</f>
        <v>1</v>
      </c>
      <c r="I21" s="15">
        <f t="shared" si="0"/>
        <v>200767</v>
      </c>
    </row>
    <row r="22" spans="1:9" x14ac:dyDescent="0.3">
      <c r="A22" s="13">
        <v>45231</v>
      </c>
      <c r="B22" t="s">
        <v>29</v>
      </c>
      <c r="C22" t="s">
        <v>64</v>
      </c>
      <c r="D22" t="str">
        <f>INDEX(Clientes!$B$4:$B$15,MATCH(B22,Clientes!$A$4:$A$15,0))</f>
        <v>Distribuidora Los Andes S.A.</v>
      </c>
      <c r="E22" t="str">
        <f>INDEX(Catalogo_Servicios!$C$4:$C$24,MATCH(C22,Catalogo_Servicios!$A$4:$A$24,0))</f>
        <v>Estados financieros mensuales</v>
      </c>
      <c r="F22" s="14">
        <v>3</v>
      </c>
      <c r="G22" s="15">
        <f>Parametros!$B$4</f>
        <v>28681</v>
      </c>
      <c r="H22" s="14">
        <f>INDEX(Clientes!$E$4:$E$15,MATCH(B22,Clientes!$A$4:$A$15,0))</f>
        <v>1</v>
      </c>
      <c r="I22" s="15">
        <f t="shared" si="0"/>
        <v>86043</v>
      </c>
    </row>
    <row r="23" spans="1:9" x14ac:dyDescent="0.3">
      <c r="A23" s="13">
        <v>45231</v>
      </c>
      <c r="B23" t="s">
        <v>29</v>
      </c>
      <c r="C23" t="s">
        <v>65</v>
      </c>
      <c r="D23" t="str">
        <f>INDEX(Clientes!$B$4:$B$15,MATCH(B23,Clientes!$A$4:$A$15,0))</f>
        <v>Distribuidora Los Andes S.A.</v>
      </c>
      <c r="E23" t="str">
        <f>INDEX(Catalogo_Servicios!$C$4:$C$24,MATCH(C23,Catalogo_Servicios!$A$4:$A$24,0))</f>
        <v>Declaración mensual de IVA (D-104)</v>
      </c>
      <c r="F23" s="14">
        <v>0.75</v>
      </c>
      <c r="G23" s="15">
        <f>Parametros!$B$4</f>
        <v>28681</v>
      </c>
      <c r="H23" s="14">
        <f>INDEX(Clientes!$E$4:$E$15,MATCH(B23,Clientes!$A$4:$A$15,0))</f>
        <v>1</v>
      </c>
      <c r="I23" s="15">
        <f t="shared" si="0"/>
        <v>21511</v>
      </c>
    </row>
    <row r="24" spans="1:9" x14ac:dyDescent="0.3">
      <c r="A24" s="13">
        <v>45231</v>
      </c>
      <c r="B24" t="s">
        <v>29</v>
      </c>
      <c r="C24" t="s">
        <v>66</v>
      </c>
      <c r="D24" t="str">
        <f>INDEX(Clientes!$B$4:$B$15,MATCH(B24,Clientes!$A$4:$A$15,0))</f>
        <v>Distribuidora Los Andes S.A.</v>
      </c>
      <c r="E24" t="str">
        <f>INDEX(Catalogo_Servicios!$C$4:$C$24,MATCH(C24,Catalogo_Servicios!$A$4:$A$24,0))</f>
        <v>Declaración mensual de retenciones (D-103)</v>
      </c>
      <c r="F24" s="14">
        <v>0.25</v>
      </c>
      <c r="G24" s="15">
        <f>Parametros!$B$4</f>
        <v>28681</v>
      </c>
      <c r="H24" s="14">
        <f>INDEX(Clientes!$E$4:$E$15,MATCH(B24,Clientes!$A$4:$A$15,0))</f>
        <v>1</v>
      </c>
      <c r="I24" s="15">
        <f t="shared" si="0"/>
        <v>7170</v>
      </c>
    </row>
    <row r="25" spans="1:9" x14ac:dyDescent="0.3">
      <c r="A25" s="13">
        <v>45231</v>
      </c>
      <c r="B25" t="s">
        <v>29</v>
      </c>
      <c r="C25" t="s">
        <v>67</v>
      </c>
      <c r="D25" t="str">
        <f>INDEX(Clientes!$B$4:$B$15,MATCH(B25,Clientes!$A$4:$A$15,0))</f>
        <v>Distribuidora Los Andes S.A.</v>
      </c>
      <c r="E25" t="str">
        <f>INDEX(Catalogo_Servicios!$C$4:$C$24,MATCH(C25,Catalogo_Servicios!$A$4:$A$24,0))</f>
        <v>Cálculo de planillas y cargas sociales (CCSS/INS)</v>
      </c>
      <c r="F25" s="14">
        <v>20.5</v>
      </c>
      <c r="G25" s="15">
        <f>Parametros!$B$4</f>
        <v>28681</v>
      </c>
      <c r="H25" s="14">
        <f>INDEX(Clientes!$E$4:$E$15,MATCH(B25,Clientes!$A$4:$A$15,0))</f>
        <v>1</v>
      </c>
      <c r="I25" s="15">
        <f t="shared" si="0"/>
        <v>587961</v>
      </c>
    </row>
    <row r="26" spans="1:9" x14ac:dyDescent="0.3">
      <c r="A26" s="13">
        <v>45231</v>
      </c>
      <c r="B26" t="s">
        <v>30</v>
      </c>
      <c r="C26" t="s">
        <v>64</v>
      </c>
      <c r="D26" t="str">
        <f>INDEX(Clientes!$B$4:$B$15,MATCH(B26,Clientes!$A$4:$A$15,0))</f>
        <v>Ferretería El Tornillo</v>
      </c>
      <c r="E26" t="str">
        <f>INDEX(Catalogo_Servicios!$C$4:$C$24,MATCH(C26,Catalogo_Servicios!$A$4:$A$24,0))</f>
        <v>Estados financieros mensuales</v>
      </c>
      <c r="F26" s="14">
        <v>3</v>
      </c>
      <c r="G26" s="15">
        <f>Parametros!$B$4</f>
        <v>28681</v>
      </c>
      <c r="H26" s="14">
        <f>INDEX(Clientes!$E$4:$E$15,MATCH(B26,Clientes!$A$4:$A$15,0))</f>
        <v>1</v>
      </c>
      <c r="I26" s="15">
        <f t="shared" si="0"/>
        <v>86043</v>
      </c>
    </row>
    <row r="27" spans="1:9" x14ac:dyDescent="0.3">
      <c r="A27" s="13">
        <v>45231</v>
      </c>
      <c r="B27" t="s">
        <v>30</v>
      </c>
      <c r="C27" t="s">
        <v>65</v>
      </c>
      <c r="D27" t="str">
        <f>INDEX(Clientes!$B$4:$B$15,MATCH(B27,Clientes!$A$4:$A$15,0))</f>
        <v>Ferretería El Tornillo</v>
      </c>
      <c r="E27" t="str">
        <f>INDEX(Catalogo_Servicios!$C$4:$C$24,MATCH(C27,Catalogo_Servicios!$A$4:$A$24,0))</f>
        <v>Declaración mensual de IVA (D-104)</v>
      </c>
      <c r="F27" s="14">
        <v>0.75</v>
      </c>
      <c r="G27" s="15">
        <f>Parametros!$B$4</f>
        <v>28681</v>
      </c>
      <c r="H27" s="14">
        <f>INDEX(Clientes!$E$4:$E$15,MATCH(B27,Clientes!$A$4:$A$15,0))</f>
        <v>1</v>
      </c>
      <c r="I27" s="15">
        <f t="shared" si="0"/>
        <v>21511</v>
      </c>
    </row>
    <row r="28" spans="1:9" x14ac:dyDescent="0.3">
      <c r="A28" s="13">
        <v>45231</v>
      </c>
      <c r="B28" t="s">
        <v>30</v>
      </c>
      <c r="C28" t="s">
        <v>66</v>
      </c>
      <c r="D28" t="str">
        <f>INDEX(Clientes!$B$4:$B$15,MATCH(B28,Clientes!$A$4:$A$15,0))</f>
        <v>Ferretería El Tornillo</v>
      </c>
      <c r="E28" t="str">
        <f>INDEX(Catalogo_Servicios!$C$4:$C$24,MATCH(C28,Catalogo_Servicios!$A$4:$A$24,0))</f>
        <v>Declaración mensual de retenciones (D-103)</v>
      </c>
      <c r="F28" s="14">
        <v>0.25</v>
      </c>
      <c r="G28" s="15">
        <f>Parametros!$B$4</f>
        <v>28681</v>
      </c>
      <c r="H28" s="14">
        <f>INDEX(Clientes!$E$4:$E$15,MATCH(B28,Clientes!$A$4:$A$15,0))</f>
        <v>1</v>
      </c>
      <c r="I28" s="15">
        <f t="shared" si="0"/>
        <v>7170</v>
      </c>
    </row>
    <row r="29" spans="1:9" x14ac:dyDescent="0.3">
      <c r="A29" s="13">
        <v>45231</v>
      </c>
      <c r="B29" t="s">
        <v>31</v>
      </c>
      <c r="C29" t="s">
        <v>65</v>
      </c>
      <c r="D29" t="str">
        <f>INDEX(Clientes!$B$4:$B$15,MATCH(B29,Clientes!$A$4:$A$15,0))</f>
        <v>Clínica Dental Sonrisa</v>
      </c>
      <c r="E29" t="str">
        <f>INDEX(Catalogo_Servicios!$C$4:$C$24,MATCH(C29,Catalogo_Servicios!$A$4:$A$24,0))</f>
        <v>Declaración mensual de IVA (D-104)</v>
      </c>
      <c r="F29" s="14">
        <v>0.75</v>
      </c>
      <c r="G29" s="15">
        <f>Parametros!$B$4</f>
        <v>28681</v>
      </c>
      <c r="H29" s="14">
        <f>INDEX(Clientes!$E$4:$E$15,MATCH(B29,Clientes!$A$4:$A$15,0))</f>
        <v>1.1000000000000001</v>
      </c>
      <c r="I29" s="15">
        <f t="shared" si="0"/>
        <v>23662</v>
      </c>
    </row>
    <row r="30" spans="1:9" x14ac:dyDescent="0.3">
      <c r="A30" s="13">
        <v>45231</v>
      </c>
      <c r="B30" t="s">
        <v>32</v>
      </c>
      <c r="C30" t="s">
        <v>65</v>
      </c>
      <c r="D30" t="str">
        <f>INDEX(Clientes!$B$4:$B$15,MATCH(B30,Clientes!$A$4:$A$15,0))</f>
        <v>Soda y Restaurante Doña Lela</v>
      </c>
      <c r="E30" t="str">
        <f>INDEX(Catalogo_Servicios!$C$4:$C$24,MATCH(C30,Catalogo_Servicios!$A$4:$A$24,0))</f>
        <v>Declaración mensual de IVA (D-104)</v>
      </c>
      <c r="F30" s="14">
        <v>0.75</v>
      </c>
      <c r="G30" s="15">
        <f>Parametros!$B$4</f>
        <v>28681</v>
      </c>
      <c r="H30" s="14">
        <f>INDEX(Clientes!$E$4:$E$15,MATCH(B30,Clientes!$A$4:$A$15,0))</f>
        <v>1</v>
      </c>
      <c r="I30" s="15">
        <f t="shared" si="0"/>
        <v>21511</v>
      </c>
    </row>
    <row r="31" spans="1:9" x14ac:dyDescent="0.3">
      <c r="A31" s="13">
        <v>45231</v>
      </c>
      <c r="B31" t="s">
        <v>33</v>
      </c>
      <c r="C31" t="s">
        <v>65</v>
      </c>
      <c r="D31" t="str">
        <f>INDEX(Clientes!$B$4:$B$15,MATCH(B31,Clientes!$A$4:$A$15,0))</f>
        <v>Transportes Rápidos del Valle</v>
      </c>
      <c r="E31" t="str">
        <f>INDEX(Catalogo_Servicios!$C$4:$C$24,MATCH(C31,Catalogo_Servicios!$A$4:$A$24,0))</f>
        <v>Declaración mensual de IVA (D-104)</v>
      </c>
      <c r="F31" s="14">
        <v>0.75</v>
      </c>
      <c r="G31" s="15">
        <f>Parametros!$B$4</f>
        <v>28681</v>
      </c>
      <c r="H31" s="14">
        <f>INDEX(Clientes!$E$4:$E$15,MATCH(B31,Clientes!$A$4:$A$15,0))</f>
        <v>1</v>
      </c>
      <c r="I31" s="15">
        <f t="shared" si="0"/>
        <v>21511</v>
      </c>
    </row>
    <row r="32" spans="1:9" x14ac:dyDescent="0.3">
      <c r="A32" s="13">
        <v>45231</v>
      </c>
      <c r="B32" t="s">
        <v>33</v>
      </c>
      <c r="C32" t="s">
        <v>66</v>
      </c>
      <c r="D32" t="str">
        <f>INDEX(Clientes!$B$4:$B$15,MATCH(B32,Clientes!$A$4:$A$15,0))</f>
        <v>Transportes Rápidos del Valle</v>
      </c>
      <c r="E32" t="str">
        <f>INDEX(Catalogo_Servicios!$C$4:$C$24,MATCH(C32,Catalogo_Servicios!$A$4:$A$24,0))</f>
        <v>Declaración mensual de retenciones (D-103)</v>
      </c>
      <c r="F32" s="14">
        <v>0.25</v>
      </c>
      <c r="G32" s="15">
        <f>Parametros!$B$4</f>
        <v>28681</v>
      </c>
      <c r="H32" s="14">
        <f>INDEX(Clientes!$E$4:$E$15,MATCH(B32,Clientes!$A$4:$A$15,0))</f>
        <v>1</v>
      </c>
      <c r="I32" s="15">
        <f t="shared" si="0"/>
        <v>7170</v>
      </c>
    </row>
    <row r="33" spans="1:9" x14ac:dyDescent="0.3">
      <c r="A33" s="13">
        <v>45231</v>
      </c>
      <c r="B33" t="s">
        <v>33</v>
      </c>
      <c r="C33" t="s">
        <v>67</v>
      </c>
      <c r="D33" t="str">
        <f>INDEX(Clientes!$B$4:$B$15,MATCH(B33,Clientes!$A$4:$A$15,0))</f>
        <v>Transportes Rápidos del Valle</v>
      </c>
      <c r="E33" t="str">
        <f>INDEX(Catalogo_Servicios!$C$4:$C$24,MATCH(C33,Catalogo_Servicios!$A$4:$A$24,0))</f>
        <v>Cálculo de planillas y cargas sociales (CCSS/INS)</v>
      </c>
      <c r="F33" s="14">
        <v>5.5</v>
      </c>
      <c r="G33" s="15">
        <f>Parametros!$B$4</f>
        <v>28681</v>
      </c>
      <c r="H33" s="14">
        <f>INDEX(Clientes!$E$4:$E$15,MATCH(B33,Clientes!$A$4:$A$15,0))</f>
        <v>1</v>
      </c>
      <c r="I33" s="15">
        <f t="shared" si="0"/>
        <v>157746</v>
      </c>
    </row>
    <row r="34" spans="1:9" x14ac:dyDescent="0.3">
      <c r="A34" s="13">
        <v>45231</v>
      </c>
      <c r="B34" t="s">
        <v>35</v>
      </c>
      <c r="C34" t="s">
        <v>65</v>
      </c>
      <c r="D34" t="str">
        <f>INDEX(Clientes!$B$4:$B$15,MATCH(B34,Clientes!$A$4:$A$15,0))</f>
        <v>Taller Mecánico Hermanos Mora</v>
      </c>
      <c r="E34" t="str">
        <f>INDEX(Catalogo_Servicios!$C$4:$C$24,MATCH(C34,Catalogo_Servicios!$A$4:$A$24,0))</f>
        <v>Declaración mensual de IVA (D-104)</v>
      </c>
      <c r="F34" s="14">
        <v>0.75</v>
      </c>
      <c r="G34" s="15">
        <f>Parametros!$B$4</f>
        <v>28681</v>
      </c>
      <c r="H34" s="14">
        <f>INDEX(Clientes!$E$4:$E$15,MATCH(B34,Clientes!$A$4:$A$15,0))</f>
        <v>1</v>
      </c>
      <c r="I34" s="15">
        <f t="shared" si="0"/>
        <v>21511</v>
      </c>
    </row>
    <row r="35" spans="1:9" x14ac:dyDescent="0.3">
      <c r="A35" s="13">
        <v>45231</v>
      </c>
      <c r="B35" t="s">
        <v>36</v>
      </c>
      <c r="C35" t="s">
        <v>65</v>
      </c>
      <c r="D35" t="str">
        <f>INDEX(Clientes!$B$4:$B$15,MATCH(B35,Clientes!$A$4:$A$15,0))</f>
        <v>Agroservicios Cartago</v>
      </c>
      <c r="E35" t="str">
        <f>INDEX(Catalogo_Servicios!$C$4:$C$24,MATCH(C35,Catalogo_Servicios!$A$4:$A$24,0))</f>
        <v>Declaración mensual de IVA (D-104)</v>
      </c>
      <c r="F35" s="14">
        <v>0.75</v>
      </c>
      <c r="G35" s="15">
        <f>Parametros!$B$4</f>
        <v>28681</v>
      </c>
      <c r="H35" s="14">
        <f>INDEX(Clientes!$E$4:$E$15,MATCH(B35,Clientes!$A$4:$A$15,0))</f>
        <v>1</v>
      </c>
      <c r="I35" s="15">
        <f t="shared" si="0"/>
        <v>21511</v>
      </c>
    </row>
    <row r="36" spans="1:9" x14ac:dyDescent="0.3">
      <c r="A36" s="13">
        <v>45231</v>
      </c>
      <c r="B36" t="s">
        <v>36</v>
      </c>
      <c r="C36" t="s">
        <v>66</v>
      </c>
      <c r="D36" t="str">
        <f>INDEX(Clientes!$B$4:$B$15,MATCH(B36,Clientes!$A$4:$A$15,0))</f>
        <v>Agroservicios Cartago</v>
      </c>
      <c r="E36" t="str">
        <f>INDEX(Catalogo_Servicios!$C$4:$C$24,MATCH(C36,Catalogo_Servicios!$A$4:$A$24,0))</f>
        <v>Declaración mensual de retenciones (D-103)</v>
      </c>
      <c r="F36" s="14">
        <v>0.25</v>
      </c>
      <c r="G36" s="15">
        <f>Parametros!$B$4</f>
        <v>28681</v>
      </c>
      <c r="H36" s="14">
        <f>INDEX(Clientes!$E$4:$E$15,MATCH(B36,Clientes!$A$4:$A$15,0))</f>
        <v>1</v>
      </c>
      <c r="I36" s="15">
        <f t="shared" si="0"/>
        <v>7170</v>
      </c>
    </row>
    <row r="37" spans="1:9" x14ac:dyDescent="0.3">
      <c r="A37" s="13">
        <v>45231</v>
      </c>
      <c r="B37" t="s">
        <v>38</v>
      </c>
      <c r="C37" t="s">
        <v>65</v>
      </c>
      <c r="D37" t="str">
        <f>INDEX(Clientes!$B$4:$B$15,MATCH(B37,Clientes!$A$4:$A$15,0))</f>
        <v>Panadería La Espiga</v>
      </c>
      <c r="E37" t="str">
        <f>INDEX(Catalogo_Servicios!$C$4:$C$24,MATCH(C37,Catalogo_Servicios!$A$4:$A$24,0))</f>
        <v>Declaración mensual de IVA (D-104)</v>
      </c>
      <c r="F37" s="14">
        <v>0.75</v>
      </c>
      <c r="G37" s="15">
        <f>Parametros!$B$4</f>
        <v>28681</v>
      </c>
      <c r="H37" s="14">
        <f>INDEX(Clientes!$E$4:$E$15,MATCH(B37,Clientes!$A$4:$A$15,0))</f>
        <v>1</v>
      </c>
      <c r="I37" s="15">
        <f t="shared" si="0"/>
        <v>21511</v>
      </c>
    </row>
    <row r="38" spans="1:9" x14ac:dyDescent="0.3">
      <c r="A38" s="13">
        <v>45231</v>
      </c>
      <c r="B38" t="s">
        <v>38</v>
      </c>
      <c r="C38" t="s">
        <v>67</v>
      </c>
      <c r="D38" t="str">
        <f>INDEX(Clientes!$B$4:$B$15,MATCH(B38,Clientes!$A$4:$A$15,0))</f>
        <v>Panadería La Espiga</v>
      </c>
      <c r="E38" t="str">
        <f>INDEX(Catalogo_Servicios!$C$4:$C$24,MATCH(C38,Catalogo_Servicios!$A$4:$A$24,0))</f>
        <v>Cálculo de planillas y cargas sociales (CCSS/INS)</v>
      </c>
      <c r="F38" s="14">
        <v>6.5</v>
      </c>
      <c r="G38" s="15">
        <f>Parametros!$B$4</f>
        <v>28681</v>
      </c>
      <c r="H38" s="14">
        <f>INDEX(Clientes!$E$4:$E$15,MATCH(B38,Clientes!$A$4:$A$15,0))</f>
        <v>1</v>
      </c>
      <c r="I38" s="15">
        <f t="shared" si="0"/>
        <v>186427</v>
      </c>
    </row>
    <row r="39" spans="1:9" x14ac:dyDescent="0.3">
      <c r="A39" s="13">
        <v>45261</v>
      </c>
      <c r="B39" t="s">
        <v>29</v>
      </c>
      <c r="C39" t="s">
        <v>64</v>
      </c>
      <c r="D39" t="str">
        <f>INDEX(Clientes!$B$4:$B$15,MATCH(B39,Clientes!$A$4:$A$15,0))</f>
        <v>Distribuidora Los Andes S.A.</v>
      </c>
      <c r="E39" t="str">
        <f>INDEX(Catalogo_Servicios!$C$4:$C$24,MATCH(C39,Catalogo_Servicios!$A$4:$A$24,0))</f>
        <v>Estados financieros mensuales</v>
      </c>
      <c r="F39" s="14">
        <v>3</v>
      </c>
      <c r="G39" s="15">
        <f>Parametros!$B$4</f>
        <v>28681</v>
      </c>
      <c r="H39" s="14">
        <f>INDEX(Clientes!$E$4:$E$15,MATCH(B39,Clientes!$A$4:$A$15,0))</f>
        <v>1</v>
      </c>
      <c r="I39" s="15">
        <f t="shared" si="0"/>
        <v>86043</v>
      </c>
    </row>
    <row r="40" spans="1:9" x14ac:dyDescent="0.3">
      <c r="A40" s="13">
        <v>45261</v>
      </c>
      <c r="B40" t="s">
        <v>29</v>
      </c>
      <c r="C40" t="s">
        <v>65</v>
      </c>
      <c r="D40" t="str">
        <f>INDEX(Clientes!$B$4:$B$15,MATCH(B40,Clientes!$A$4:$A$15,0))</f>
        <v>Distribuidora Los Andes S.A.</v>
      </c>
      <c r="E40" t="str">
        <f>INDEX(Catalogo_Servicios!$C$4:$C$24,MATCH(C40,Catalogo_Servicios!$A$4:$A$24,0))</f>
        <v>Declaración mensual de IVA (D-104)</v>
      </c>
      <c r="F40" s="14">
        <v>0.75</v>
      </c>
      <c r="G40" s="15">
        <f>Parametros!$B$4</f>
        <v>28681</v>
      </c>
      <c r="H40" s="14">
        <f>INDEX(Clientes!$E$4:$E$15,MATCH(B40,Clientes!$A$4:$A$15,0))</f>
        <v>1</v>
      </c>
      <c r="I40" s="15">
        <f t="shared" si="0"/>
        <v>21511</v>
      </c>
    </row>
    <row r="41" spans="1:9" x14ac:dyDescent="0.3">
      <c r="A41" s="13">
        <v>45261</v>
      </c>
      <c r="B41" t="s">
        <v>29</v>
      </c>
      <c r="C41" t="s">
        <v>66</v>
      </c>
      <c r="D41" t="str">
        <f>INDEX(Clientes!$B$4:$B$15,MATCH(B41,Clientes!$A$4:$A$15,0))</f>
        <v>Distribuidora Los Andes S.A.</v>
      </c>
      <c r="E41" t="str">
        <f>INDEX(Catalogo_Servicios!$C$4:$C$24,MATCH(C41,Catalogo_Servicios!$A$4:$A$24,0))</f>
        <v>Declaración mensual de retenciones (D-103)</v>
      </c>
      <c r="F41" s="14">
        <v>0.25</v>
      </c>
      <c r="G41" s="15">
        <f>Parametros!$B$4</f>
        <v>28681</v>
      </c>
      <c r="H41" s="14">
        <f>INDEX(Clientes!$E$4:$E$15,MATCH(B41,Clientes!$A$4:$A$15,0))</f>
        <v>1</v>
      </c>
      <c r="I41" s="15">
        <f t="shared" si="0"/>
        <v>7170</v>
      </c>
    </row>
    <row r="42" spans="1:9" x14ac:dyDescent="0.3">
      <c r="A42" s="13">
        <v>45261</v>
      </c>
      <c r="B42" t="s">
        <v>29</v>
      </c>
      <c r="C42" t="s">
        <v>67</v>
      </c>
      <c r="D42" t="str">
        <f>INDEX(Clientes!$B$4:$B$15,MATCH(B42,Clientes!$A$4:$A$15,0))</f>
        <v>Distribuidora Los Andes S.A.</v>
      </c>
      <c r="E42" t="str">
        <f>INDEX(Catalogo_Servicios!$C$4:$C$24,MATCH(C42,Catalogo_Servicios!$A$4:$A$24,0))</f>
        <v>Cálculo de planillas y cargas sociales (CCSS/INS)</v>
      </c>
      <c r="F42" s="14">
        <v>23</v>
      </c>
      <c r="G42" s="15">
        <f>Parametros!$B$4</f>
        <v>28681</v>
      </c>
      <c r="H42" s="14">
        <f>INDEX(Clientes!$E$4:$E$15,MATCH(B42,Clientes!$A$4:$A$15,0))</f>
        <v>1</v>
      </c>
      <c r="I42" s="15">
        <f t="shared" si="0"/>
        <v>659663</v>
      </c>
    </row>
    <row r="43" spans="1:9" x14ac:dyDescent="0.3">
      <c r="A43" s="13">
        <v>45261</v>
      </c>
      <c r="B43" t="s">
        <v>29</v>
      </c>
      <c r="C43" t="s">
        <v>69</v>
      </c>
      <c r="D43" t="str">
        <f>INDEX(Clientes!$B$4:$B$15,MATCH(B43,Clientes!$A$4:$A$15,0))</f>
        <v>Distribuidora Los Andes S.A.</v>
      </c>
      <c r="E43" t="str">
        <f>INDEX(Catalogo_Servicios!$C$4:$C$24,MATCH(C43,Catalogo_Servicios!$A$4:$A$24,0))</f>
        <v>Declaración anual de renta (D-101 / D-105)</v>
      </c>
      <c r="F43" s="14">
        <v>1.5</v>
      </c>
      <c r="G43" s="15">
        <f>Parametros!$B$4</f>
        <v>28681</v>
      </c>
      <c r="H43" s="14">
        <f>INDEX(Clientes!$E$4:$E$15,MATCH(B43,Clientes!$A$4:$A$15,0))</f>
        <v>1</v>
      </c>
      <c r="I43" s="15">
        <f t="shared" si="0"/>
        <v>43022</v>
      </c>
    </row>
    <row r="44" spans="1:9" x14ac:dyDescent="0.3">
      <c r="A44" s="13">
        <v>45261</v>
      </c>
      <c r="B44" t="s">
        <v>29</v>
      </c>
      <c r="C44" t="s">
        <v>70</v>
      </c>
      <c r="D44" t="str">
        <f>INDEX(Clientes!$B$4:$B$15,MATCH(B44,Clientes!$A$4:$A$15,0))</f>
        <v>Distribuidora Los Andes S.A.</v>
      </c>
      <c r="E44" t="str">
        <f>INDEX(Catalogo_Servicios!$C$4:$C$24,MATCH(C44,Catalogo_Servicios!$A$4:$A$24,0))</f>
        <v>Estados financieros anuales / cierre fiscal</v>
      </c>
      <c r="F44" s="14">
        <v>6</v>
      </c>
      <c r="G44" s="15">
        <f>Parametros!$B$4</f>
        <v>28681</v>
      </c>
      <c r="H44" s="14">
        <f>INDEX(Clientes!$E$4:$E$15,MATCH(B44,Clientes!$A$4:$A$15,0))</f>
        <v>1</v>
      </c>
      <c r="I44" s="15">
        <f t="shared" si="0"/>
        <v>172086</v>
      </c>
    </row>
    <row r="45" spans="1:9" x14ac:dyDescent="0.3">
      <c r="A45" s="13">
        <v>45261</v>
      </c>
      <c r="B45" t="s">
        <v>30</v>
      </c>
      <c r="C45" t="s">
        <v>64</v>
      </c>
      <c r="D45" t="str">
        <f>INDEX(Clientes!$B$4:$B$15,MATCH(B45,Clientes!$A$4:$A$15,0))</f>
        <v>Ferretería El Tornillo</v>
      </c>
      <c r="E45" t="str">
        <f>INDEX(Catalogo_Servicios!$C$4:$C$24,MATCH(C45,Catalogo_Servicios!$A$4:$A$24,0))</f>
        <v>Estados financieros mensuales</v>
      </c>
      <c r="F45" s="14">
        <v>3.25</v>
      </c>
      <c r="G45" s="15">
        <f>Parametros!$B$4</f>
        <v>28681</v>
      </c>
      <c r="H45" s="14">
        <f>INDEX(Clientes!$E$4:$E$15,MATCH(B45,Clientes!$A$4:$A$15,0))</f>
        <v>1</v>
      </c>
      <c r="I45" s="15">
        <f t="shared" si="0"/>
        <v>93213</v>
      </c>
    </row>
    <row r="46" spans="1:9" x14ac:dyDescent="0.3">
      <c r="A46" s="13">
        <v>45261</v>
      </c>
      <c r="B46" t="s">
        <v>30</v>
      </c>
      <c r="C46" t="s">
        <v>65</v>
      </c>
      <c r="D46" t="str">
        <f>INDEX(Clientes!$B$4:$B$15,MATCH(B46,Clientes!$A$4:$A$15,0))</f>
        <v>Ferretería El Tornillo</v>
      </c>
      <c r="E46" t="str">
        <f>INDEX(Catalogo_Servicios!$C$4:$C$24,MATCH(C46,Catalogo_Servicios!$A$4:$A$24,0))</f>
        <v>Declaración mensual de IVA (D-104)</v>
      </c>
      <c r="F46" s="14">
        <v>0.75</v>
      </c>
      <c r="G46" s="15">
        <f>Parametros!$B$4</f>
        <v>28681</v>
      </c>
      <c r="H46" s="14">
        <f>INDEX(Clientes!$E$4:$E$15,MATCH(B46,Clientes!$A$4:$A$15,0))</f>
        <v>1</v>
      </c>
      <c r="I46" s="15">
        <f t="shared" si="0"/>
        <v>21511</v>
      </c>
    </row>
    <row r="47" spans="1:9" x14ac:dyDescent="0.3">
      <c r="A47" s="13">
        <v>45261</v>
      </c>
      <c r="B47" t="s">
        <v>30</v>
      </c>
      <c r="C47" t="s">
        <v>66</v>
      </c>
      <c r="D47" t="str">
        <f>INDEX(Clientes!$B$4:$B$15,MATCH(B47,Clientes!$A$4:$A$15,0))</f>
        <v>Ferretería El Tornillo</v>
      </c>
      <c r="E47" t="str">
        <f>INDEX(Catalogo_Servicios!$C$4:$C$24,MATCH(C47,Catalogo_Servicios!$A$4:$A$24,0))</f>
        <v>Declaración mensual de retenciones (D-103)</v>
      </c>
      <c r="F47" s="14">
        <v>0.25</v>
      </c>
      <c r="G47" s="15">
        <f>Parametros!$B$4</f>
        <v>28681</v>
      </c>
      <c r="H47" s="14">
        <f>INDEX(Clientes!$E$4:$E$15,MATCH(B47,Clientes!$A$4:$A$15,0))</f>
        <v>1</v>
      </c>
      <c r="I47" s="15">
        <f t="shared" si="0"/>
        <v>7170</v>
      </c>
    </row>
    <row r="48" spans="1:9" x14ac:dyDescent="0.3">
      <c r="A48" s="13">
        <v>45261</v>
      </c>
      <c r="B48" t="s">
        <v>31</v>
      </c>
      <c r="C48" t="s">
        <v>68</v>
      </c>
      <c r="D48" t="str">
        <f>INDEX(Clientes!$B$4:$B$15,MATCH(B48,Clientes!$A$4:$A$15,0))</f>
        <v>Clínica Dental Sonrisa</v>
      </c>
      <c r="E48" t="str">
        <f>INDEX(Catalogo_Servicios!$C$4:$C$24,MATCH(C48,Catalogo_Servicios!$A$4:$A$24,0))</f>
        <v>Asesoría contable, financiera y tributaria</v>
      </c>
      <c r="F48" s="14">
        <v>1.5</v>
      </c>
      <c r="G48" s="15">
        <f>Parametros!$B$4</f>
        <v>28681</v>
      </c>
      <c r="H48" s="14">
        <f>INDEX(Clientes!$E$4:$E$15,MATCH(B48,Clientes!$A$4:$A$15,0))</f>
        <v>1.1000000000000001</v>
      </c>
      <c r="I48" s="15">
        <f t="shared" si="0"/>
        <v>47324</v>
      </c>
    </row>
    <row r="49" spans="1:9" x14ac:dyDescent="0.3">
      <c r="A49" s="13">
        <v>45261</v>
      </c>
      <c r="B49" t="s">
        <v>31</v>
      </c>
      <c r="C49" t="s">
        <v>65</v>
      </c>
      <c r="D49" t="str">
        <f>INDEX(Clientes!$B$4:$B$15,MATCH(B49,Clientes!$A$4:$A$15,0))</f>
        <v>Clínica Dental Sonrisa</v>
      </c>
      <c r="E49" t="str">
        <f>INDEX(Catalogo_Servicios!$C$4:$C$24,MATCH(C49,Catalogo_Servicios!$A$4:$A$24,0))</f>
        <v>Declaración mensual de IVA (D-104)</v>
      </c>
      <c r="F49" s="14">
        <v>0.75</v>
      </c>
      <c r="G49" s="15">
        <f>Parametros!$B$4</f>
        <v>28681</v>
      </c>
      <c r="H49" s="14">
        <f>INDEX(Clientes!$E$4:$E$15,MATCH(B49,Clientes!$A$4:$A$15,0))</f>
        <v>1.1000000000000001</v>
      </c>
      <c r="I49" s="15">
        <f t="shared" si="0"/>
        <v>23662</v>
      </c>
    </row>
    <row r="50" spans="1:9" x14ac:dyDescent="0.3">
      <c r="A50" s="13">
        <v>45261</v>
      </c>
      <c r="B50" t="s">
        <v>31</v>
      </c>
      <c r="C50" t="s">
        <v>69</v>
      </c>
      <c r="D50" t="str">
        <f>INDEX(Clientes!$B$4:$B$15,MATCH(B50,Clientes!$A$4:$A$15,0))</f>
        <v>Clínica Dental Sonrisa</v>
      </c>
      <c r="E50" t="str">
        <f>INDEX(Catalogo_Servicios!$C$4:$C$24,MATCH(C50,Catalogo_Servicios!$A$4:$A$24,0))</f>
        <v>Declaración anual de renta (D-101 / D-105)</v>
      </c>
      <c r="F50" s="14">
        <v>1.5</v>
      </c>
      <c r="G50" s="15">
        <f>Parametros!$B$4</f>
        <v>28681</v>
      </c>
      <c r="H50" s="14">
        <f>INDEX(Clientes!$E$4:$E$15,MATCH(B50,Clientes!$A$4:$A$15,0))</f>
        <v>1.1000000000000001</v>
      </c>
      <c r="I50" s="15">
        <f t="shared" si="0"/>
        <v>47324</v>
      </c>
    </row>
    <row r="51" spans="1:9" x14ac:dyDescent="0.3">
      <c r="A51" s="13">
        <v>45261</v>
      </c>
      <c r="B51" t="s">
        <v>32</v>
      </c>
      <c r="C51" t="s">
        <v>65</v>
      </c>
      <c r="D51" t="str">
        <f>INDEX(Clientes!$B$4:$B$15,MATCH(B51,Clientes!$A$4:$A$15,0))</f>
        <v>Soda y Restaurante Doña Lela</v>
      </c>
      <c r="E51" t="str">
        <f>INDEX(Catalogo_Servicios!$C$4:$C$24,MATCH(C51,Catalogo_Servicios!$A$4:$A$24,0))</f>
        <v>Declaración mensual de IVA (D-104)</v>
      </c>
      <c r="F51" s="14">
        <v>0.75</v>
      </c>
      <c r="G51" s="15">
        <f>Parametros!$B$4</f>
        <v>28681</v>
      </c>
      <c r="H51" s="14">
        <f>INDEX(Clientes!$E$4:$E$15,MATCH(B51,Clientes!$A$4:$A$15,0))</f>
        <v>1</v>
      </c>
      <c r="I51" s="15">
        <f t="shared" si="0"/>
        <v>21511</v>
      </c>
    </row>
    <row r="52" spans="1:9" x14ac:dyDescent="0.3">
      <c r="A52" s="13">
        <v>45261</v>
      </c>
      <c r="B52" t="s">
        <v>32</v>
      </c>
      <c r="C52" t="s">
        <v>69</v>
      </c>
      <c r="D52" t="str">
        <f>INDEX(Clientes!$B$4:$B$15,MATCH(B52,Clientes!$A$4:$A$15,0))</f>
        <v>Soda y Restaurante Doña Lela</v>
      </c>
      <c r="E52" t="str">
        <f>INDEX(Catalogo_Servicios!$C$4:$C$24,MATCH(C52,Catalogo_Servicios!$A$4:$A$24,0))</f>
        <v>Declaración anual de renta (D-101 / D-105)</v>
      </c>
      <c r="F52" s="14">
        <v>1.5</v>
      </c>
      <c r="G52" s="15">
        <f>Parametros!$B$4</f>
        <v>28681</v>
      </c>
      <c r="H52" s="14">
        <f>INDEX(Clientes!$E$4:$E$15,MATCH(B52,Clientes!$A$4:$A$15,0))</f>
        <v>1</v>
      </c>
      <c r="I52" s="15">
        <f t="shared" si="0"/>
        <v>43022</v>
      </c>
    </row>
    <row r="53" spans="1:9" x14ac:dyDescent="0.3">
      <c r="A53" s="13">
        <v>45261</v>
      </c>
      <c r="B53" t="s">
        <v>33</v>
      </c>
      <c r="C53" t="s">
        <v>65</v>
      </c>
      <c r="D53" t="str">
        <f>INDEX(Clientes!$B$4:$B$15,MATCH(B53,Clientes!$A$4:$A$15,0))</f>
        <v>Transportes Rápidos del Valle</v>
      </c>
      <c r="E53" t="str">
        <f>INDEX(Catalogo_Servicios!$C$4:$C$24,MATCH(C53,Catalogo_Servicios!$A$4:$A$24,0))</f>
        <v>Declaración mensual de IVA (D-104)</v>
      </c>
      <c r="F53" s="14">
        <v>0.75</v>
      </c>
      <c r="G53" s="15">
        <f>Parametros!$B$4</f>
        <v>28681</v>
      </c>
      <c r="H53" s="14">
        <f>INDEX(Clientes!$E$4:$E$15,MATCH(B53,Clientes!$A$4:$A$15,0))</f>
        <v>1</v>
      </c>
      <c r="I53" s="15">
        <f t="shared" si="0"/>
        <v>21511</v>
      </c>
    </row>
    <row r="54" spans="1:9" x14ac:dyDescent="0.3">
      <c r="A54" s="13">
        <v>45261</v>
      </c>
      <c r="B54" t="s">
        <v>33</v>
      </c>
      <c r="C54" t="s">
        <v>66</v>
      </c>
      <c r="D54" t="str">
        <f>INDEX(Clientes!$B$4:$B$15,MATCH(B54,Clientes!$A$4:$A$15,0))</f>
        <v>Transportes Rápidos del Valle</v>
      </c>
      <c r="E54" t="str">
        <f>INDEX(Catalogo_Servicios!$C$4:$C$24,MATCH(C54,Catalogo_Servicios!$A$4:$A$24,0))</f>
        <v>Declaración mensual de retenciones (D-103)</v>
      </c>
      <c r="F54" s="14">
        <v>0.25</v>
      </c>
      <c r="G54" s="15">
        <f>Parametros!$B$4</f>
        <v>28681</v>
      </c>
      <c r="H54" s="14">
        <f>INDEX(Clientes!$E$4:$E$15,MATCH(B54,Clientes!$A$4:$A$15,0))</f>
        <v>1</v>
      </c>
      <c r="I54" s="15">
        <f t="shared" si="0"/>
        <v>7170</v>
      </c>
    </row>
    <row r="55" spans="1:9" x14ac:dyDescent="0.3">
      <c r="A55" s="13">
        <v>45261</v>
      </c>
      <c r="B55" t="s">
        <v>33</v>
      </c>
      <c r="C55" t="s">
        <v>67</v>
      </c>
      <c r="D55" t="str">
        <f>INDEX(Clientes!$B$4:$B$15,MATCH(B55,Clientes!$A$4:$A$15,0))</f>
        <v>Transportes Rápidos del Valle</v>
      </c>
      <c r="E55" t="str">
        <f>INDEX(Catalogo_Servicios!$C$4:$C$24,MATCH(C55,Catalogo_Servicios!$A$4:$A$24,0))</f>
        <v>Cálculo de planillas y cargas sociales (CCSS/INS)</v>
      </c>
      <c r="F55" s="14">
        <v>5.5</v>
      </c>
      <c r="G55" s="15">
        <f>Parametros!$B$4</f>
        <v>28681</v>
      </c>
      <c r="H55" s="14">
        <f>INDEX(Clientes!$E$4:$E$15,MATCH(B55,Clientes!$A$4:$A$15,0))</f>
        <v>1</v>
      </c>
      <c r="I55" s="15">
        <f t="shared" si="0"/>
        <v>157746</v>
      </c>
    </row>
    <row r="56" spans="1:9" x14ac:dyDescent="0.3">
      <c r="A56" s="13">
        <v>45261</v>
      </c>
      <c r="B56" t="s">
        <v>33</v>
      </c>
      <c r="C56" t="s">
        <v>69</v>
      </c>
      <c r="D56" t="str">
        <f>INDEX(Clientes!$B$4:$B$15,MATCH(B56,Clientes!$A$4:$A$15,0))</f>
        <v>Transportes Rápidos del Valle</v>
      </c>
      <c r="E56" t="str">
        <f>INDEX(Catalogo_Servicios!$C$4:$C$24,MATCH(C56,Catalogo_Servicios!$A$4:$A$24,0))</f>
        <v>Declaración anual de renta (D-101 / D-105)</v>
      </c>
      <c r="F56" s="14">
        <v>1.5</v>
      </c>
      <c r="G56" s="15">
        <f>Parametros!$B$4</f>
        <v>28681</v>
      </c>
      <c r="H56" s="14">
        <f>INDEX(Clientes!$E$4:$E$15,MATCH(B56,Clientes!$A$4:$A$15,0))</f>
        <v>1</v>
      </c>
      <c r="I56" s="15">
        <f t="shared" si="0"/>
        <v>43022</v>
      </c>
    </row>
    <row r="57" spans="1:9" x14ac:dyDescent="0.3">
      <c r="A57" s="13">
        <v>45261</v>
      </c>
      <c r="B57" t="s">
        <v>35</v>
      </c>
      <c r="C57" t="s">
        <v>65</v>
      </c>
      <c r="D57" t="str">
        <f>INDEX(Clientes!$B$4:$B$15,MATCH(B57,Clientes!$A$4:$A$15,0))</f>
        <v>Taller Mecánico Hermanos Mora</v>
      </c>
      <c r="E57" t="str">
        <f>INDEX(Catalogo_Servicios!$C$4:$C$24,MATCH(C57,Catalogo_Servicios!$A$4:$A$24,0))</f>
        <v>Declaración mensual de IVA (D-104)</v>
      </c>
      <c r="F57" s="14">
        <v>0.75</v>
      </c>
      <c r="G57" s="15">
        <f>Parametros!$B$4</f>
        <v>28681</v>
      </c>
      <c r="H57" s="14">
        <f>INDEX(Clientes!$E$4:$E$15,MATCH(B57,Clientes!$A$4:$A$15,0))</f>
        <v>1</v>
      </c>
      <c r="I57" s="15">
        <f t="shared" si="0"/>
        <v>21511</v>
      </c>
    </row>
    <row r="58" spans="1:9" x14ac:dyDescent="0.3">
      <c r="A58" s="13">
        <v>45261</v>
      </c>
      <c r="B58" t="s">
        <v>36</v>
      </c>
      <c r="C58" t="s">
        <v>65</v>
      </c>
      <c r="D58" t="str">
        <f>INDEX(Clientes!$B$4:$B$15,MATCH(B58,Clientes!$A$4:$A$15,0))</f>
        <v>Agroservicios Cartago</v>
      </c>
      <c r="E58" t="str">
        <f>INDEX(Catalogo_Servicios!$C$4:$C$24,MATCH(C58,Catalogo_Servicios!$A$4:$A$24,0))</f>
        <v>Declaración mensual de IVA (D-104)</v>
      </c>
      <c r="F58" s="14">
        <v>0.75</v>
      </c>
      <c r="G58" s="15">
        <f>Parametros!$B$4</f>
        <v>28681</v>
      </c>
      <c r="H58" s="14">
        <f>INDEX(Clientes!$E$4:$E$15,MATCH(B58,Clientes!$A$4:$A$15,0))</f>
        <v>1</v>
      </c>
      <c r="I58" s="15">
        <f t="shared" si="0"/>
        <v>21511</v>
      </c>
    </row>
    <row r="59" spans="1:9" x14ac:dyDescent="0.3">
      <c r="A59" s="13">
        <v>45261</v>
      </c>
      <c r="B59" t="s">
        <v>36</v>
      </c>
      <c r="C59" t="s">
        <v>66</v>
      </c>
      <c r="D59" t="str">
        <f>INDEX(Clientes!$B$4:$B$15,MATCH(B59,Clientes!$A$4:$A$15,0))</f>
        <v>Agroservicios Cartago</v>
      </c>
      <c r="E59" t="str">
        <f>INDEX(Catalogo_Servicios!$C$4:$C$24,MATCH(C59,Catalogo_Servicios!$A$4:$A$24,0))</f>
        <v>Declaración mensual de retenciones (D-103)</v>
      </c>
      <c r="F59" s="14">
        <v>0.25</v>
      </c>
      <c r="G59" s="15">
        <f>Parametros!$B$4</f>
        <v>28681</v>
      </c>
      <c r="H59" s="14">
        <f>INDEX(Clientes!$E$4:$E$15,MATCH(B59,Clientes!$A$4:$A$15,0))</f>
        <v>1</v>
      </c>
      <c r="I59" s="15">
        <f t="shared" si="0"/>
        <v>7170</v>
      </c>
    </row>
    <row r="60" spans="1:9" x14ac:dyDescent="0.3">
      <c r="A60" s="13">
        <v>45261</v>
      </c>
      <c r="B60" t="s">
        <v>38</v>
      </c>
      <c r="C60" t="s">
        <v>65</v>
      </c>
      <c r="D60" t="str">
        <f>INDEX(Clientes!$B$4:$B$15,MATCH(B60,Clientes!$A$4:$A$15,0))</f>
        <v>Panadería La Espiga</v>
      </c>
      <c r="E60" t="str">
        <f>INDEX(Catalogo_Servicios!$C$4:$C$24,MATCH(C60,Catalogo_Servicios!$A$4:$A$24,0))</f>
        <v>Declaración mensual de IVA (D-104)</v>
      </c>
      <c r="F60" s="14">
        <v>0.75</v>
      </c>
      <c r="G60" s="15">
        <f>Parametros!$B$4</f>
        <v>28681</v>
      </c>
      <c r="H60" s="14">
        <f>INDEX(Clientes!$E$4:$E$15,MATCH(B60,Clientes!$A$4:$A$15,0))</f>
        <v>1</v>
      </c>
      <c r="I60" s="15">
        <f t="shared" si="0"/>
        <v>21511</v>
      </c>
    </row>
    <row r="61" spans="1:9" x14ac:dyDescent="0.3">
      <c r="A61" s="13">
        <v>45261</v>
      </c>
      <c r="B61" t="s">
        <v>38</v>
      </c>
      <c r="C61" t="s">
        <v>67</v>
      </c>
      <c r="D61" t="str">
        <f>INDEX(Clientes!$B$4:$B$15,MATCH(B61,Clientes!$A$4:$A$15,0))</f>
        <v>Panadería La Espiga</v>
      </c>
      <c r="E61" t="str">
        <f>INDEX(Catalogo_Servicios!$C$4:$C$24,MATCH(C61,Catalogo_Servicios!$A$4:$A$24,0))</f>
        <v>Cálculo de planillas y cargas sociales (CCSS/INS)</v>
      </c>
      <c r="F61" s="14">
        <v>7</v>
      </c>
      <c r="G61" s="15">
        <f>Parametros!$B$4</f>
        <v>28681</v>
      </c>
      <c r="H61" s="14">
        <f>INDEX(Clientes!$E$4:$E$15,MATCH(B61,Clientes!$A$4:$A$15,0))</f>
        <v>1</v>
      </c>
      <c r="I61" s="15">
        <f t="shared" si="0"/>
        <v>200767</v>
      </c>
    </row>
    <row r="62" spans="1:9" x14ac:dyDescent="0.3">
      <c r="A62" s="13">
        <v>45261</v>
      </c>
      <c r="B62" t="s">
        <v>38</v>
      </c>
      <c r="C62" t="s">
        <v>69</v>
      </c>
      <c r="D62" t="str">
        <f>INDEX(Clientes!$B$4:$B$15,MATCH(B62,Clientes!$A$4:$A$15,0))</f>
        <v>Panadería La Espiga</v>
      </c>
      <c r="E62" t="str">
        <f>INDEX(Catalogo_Servicios!$C$4:$C$24,MATCH(C62,Catalogo_Servicios!$A$4:$A$24,0))</f>
        <v>Declaración anual de renta (D-101 / D-105)</v>
      </c>
      <c r="F62" s="14">
        <v>1.5</v>
      </c>
      <c r="G62" s="15">
        <f>Parametros!$B$4</f>
        <v>28681</v>
      </c>
      <c r="H62" s="14">
        <f>INDEX(Clientes!$E$4:$E$15,MATCH(B62,Clientes!$A$4:$A$15,0))</f>
        <v>1</v>
      </c>
      <c r="I62" s="15">
        <f t="shared" si="0"/>
        <v>43022</v>
      </c>
    </row>
    <row r="63" spans="1:9" x14ac:dyDescent="0.3">
      <c r="A63" s="13">
        <v>45292</v>
      </c>
      <c r="B63" t="s">
        <v>29</v>
      </c>
      <c r="C63" t="s">
        <v>64</v>
      </c>
      <c r="D63" t="str">
        <f>INDEX(Clientes!$B$4:$B$15,MATCH(B63,Clientes!$A$4:$A$15,0))</f>
        <v>Distribuidora Los Andes S.A.</v>
      </c>
      <c r="E63" t="str">
        <f>INDEX(Catalogo_Servicios!$C$4:$C$24,MATCH(C63,Catalogo_Servicios!$A$4:$A$24,0))</f>
        <v>Estados financieros mensuales</v>
      </c>
      <c r="F63" s="14">
        <v>3</v>
      </c>
      <c r="G63" s="15">
        <f>Parametros!$B$4</f>
        <v>28681</v>
      </c>
      <c r="H63" s="14">
        <f>INDEX(Clientes!$E$4:$E$15,MATCH(B63,Clientes!$A$4:$A$15,0))</f>
        <v>1</v>
      </c>
      <c r="I63" s="15">
        <f t="shared" si="0"/>
        <v>86043</v>
      </c>
    </row>
    <row r="64" spans="1:9" x14ac:dyDescent="0.3">
      <c r="A64" s="13">
        <v>45292</v>
      </c>
      <c r="B64" t="s">
        <v>29</v>
      </c>
      <c r="C64" t="s">
        <v>65</v>
      </c>
      <c r="D64" t="str">
        <f>INDEX(Clientes!$B$4:$B$15,MATCH(B64,Clientes!$A$4:$A$15,0))</f>
        <v>Distribuidora Los Andes S.A.</v>
      </c>
      <c r="E64" t="str">
        <f>INDEX(Catalogo_Servicios!$C$4:$C$24,MATCH(C64,Catalogo_Servicios!$A$4:$A$24,0))</f>
        <v>Declaración mensual de IVA (D-104)</v>
      </c>
      <c r="F64" s="14">
        <v>0.75</v>
      </c>
      <c r="G64" s="15">
        <f>Parametros!$B$4</f>
        <v>28681</v>
      </c>
      <c r="H64" s="14">
        <f>INDEX(Clientes!$E$4:$E$15,MATCH(B64,Clientes!$A$4:$A$15,0))</f>
        <v>1</v>
      </c>
      <c r="I64" s="15">
        <f t="shared" si="0"/>
        <v>21511</v>
      </c>
    </row>
    <row r="65" spans="1:9" x14ac:dyDescent="0.3">
      <c r="A65" s="13">
        <v>45292</v>
      </c>
      <c r="B65" t="s">
        <v>29</v>
      </c>
      <c r="C65" t="s">
        <v>66</v>
      </c>
      <c r="D65" t="str">
        <f>INDEX(Clientes!$B$4:$B$15,MATCH(B65,Clientes!$A$4:$A$15,0))</f>
        <v>Distribuidora Los Andes S.A.</v>
      </c>
      <c r="E65" t="str">
        <f>INDEX(Catalogo_Servicios!$C$4:$C$24,MATCH(C65,Catalogo_Servicios!$A$4:$A$24,0))</f>
        <v>Declaración mensual de retenciones (D-103)</v>
      </c>
      <c r="F65" s="14">
        <v>0.25</v>
      </c>
      <c r="G65" s="15">
        <f>Parametros!$B$4</f>
        <v>28681</v>
      </c>
      <c r="H65" s="14">
        <f>INDEX(Clientes!$E$4:$E$15,MATCH(B65,Clientes!$A$4:$A$15,0))</f>
        <v>1</v>
      </c>
      <c r="I65" s="15">
        <f t="shared" si="0"/>
        <v>7170</v>
      </c>
    </row>
    <row r="66" spans="1:9" x14ac:dyDescent="0.3">
      <c r="A66" s="13">
        <v>45292</v>
      </c>
      <c r="B66" t="s">
        <v>29</v>
      </c>
      <c r="C66" t="s">
        <v>67</v>
      </c>
      <c r="D66" t="str">
        <f>INDEX(Clientes!$B$4:$B$15,MATCH(B66,Clientes!$A$4:$A$15,0))</f>
        <v>Distribuidora Los Andes S.A.</v>
      </c>
      <c r="E66" t="str">
        <f>INDEX(Catalogo_Servicios!$C$4:$C$24,MATCH(C66,Catalogo_Servicios!$A$4:$A$24,0))</f>
        <v>Cálculo de planillas y cargas sociales (CCSS/INS)</v>
      </c>
      <c r="F66" s="14">
        <v>21</v>
      </c>
      <c r="G66" s="15">
        <f>Parametros!$B$4</f>
        <v>28681</v>
      </c>
      <c r="H66" s="14">
        <f>INDEX(Clientes!$E$4:$E$15,MATCH(B66,Clientes!$A$4:$A$15,0))</f>
        <v>1</v>
      </c>
      <c r="I66" s="15">
        <f t="shared" si="0"/>
        <v>602301</v>
      </c>
    </row>
    <row r="67" spans="1:9" x14ac:dyDescent="0.3">
      <c r="A67" s="13">
        <v>45292</v>
      </c>
      <c r="B67" t="s">
        <v>29</v>
      </c>
      <c r="C67" t="s">
        <v>71</v>
      </c>
      <c r="D67" t="str">
        <f>INDEX(Clientes!$B$4:$B$15,MATCH(B67,Clientes!$A$4:$A$15,0))</f>
        <v>Distribuidora Los Andes S.A.</v>
      </c>
      <c r="E67" t="str">
        <f>INDEX(Catalogo_Servicios!$C$4:$C$24,MATCH(C67,Catalogo_Servicios!$A$4:$A$24,0))</f>
        <v>Conciliación anual de planillas (INS/CCSS)</v>
      </c>
      <c r="F67" s="14">
        <v>2</v>
      </c>
      <c r="G67" s="15">
        <f>Parametros!$B$4</f>
        <v>28681</v>
      </c>
      <c r="H67" s="14">
        <f>INDEX(Clientes!$E$4:$E$15,MATCH(B67,Clientes!$A$4:$A$15,0))</f>
        <v>1</v>
      </c>
      <c r="I67" s="15">
        <f t="shared" si="0"/>
        <v>57362</v>
      </c>
    </row>
    <row r="68" spans="1:9" x14ac:dyDescent="0.3">
      <c r="A68" s="13">
        <v>45292</v>
      </c>
      <c r="B68" t="s">
        <v>30</v>
      </c>
      <c r="C68" t="s">
        <v>64</v>
      </c>
      <c r="D68" t="str">
        <f>INDEX(Clientes!$B$4:$B$15,MATCH(B68,Clientes!$A$4:$A$15,0))</f>
        <v>Ferretería El Tornillo</v>
      </c>
      <c r="E68" t="str">
        <f>INDEX(Catalogo_Servicios!$C$4:$C$24,MATCH(C68,Catalogo_Servicios!$A$4:$A$24,0))</f>
        <v>Estados financieros mensuales</v>
      </c>
      <c r="F68" s="14">
        <v>3</v>
      </c>
      <c r="G68" s="15">
        <f>Parametros!$B$4</f>
        <v>28681</v>
      </c>
      <c r="H68" s="14">
        <f>INDEX(Clientes!$E$4:$E$15,MATCH(B68,Clientes!$A$4:$A$15,0))</f>
        <v>1</v>
      </c>
      <c r="I68" s="15">
        <f t="shared" ref="I68:I131" si="1">ROUND(F68*G68*H68,0)</f>
        <v>86043</v>
      </c>
    </row>
    <row r="69" spans="1:9" x14ac:dyDescent="0.3">
      <c r="A69" s="13">
        <v>45292</v>
      </c>
      <c r="B69" t="s">
        <v>30</v>
      </c>
      <c r="C69" t="s">
        <v>65</v>
      </c>
      <c r="D69" t="str">
        <f>INDEX(Clientes!$B$4:$B$15,MATCH(B69,Clientes!$A$4:$A$15,0))</f>
        <v>Ferretería El Tornillo</v>
      </c>
      <c r="E69" t="str">
        <f>INDEX(Catalogo_Servicios!$C$4:$C$24,MATCH(C69,Catalogo_Servicios!$A$4:$A$24,0))</f>
        <v>Declaración mensual de IVA (D-104)</v>
      </c>
      <c r="F69" s="14">
        <v>0.75</v>
      </c>
      <c r="G69" s="15">
        <f>Parametros!$B$4</f>
        <v>28681</v>
      </c>
      <c r="H69" s="14">
        <f>INDEX(Clientes!$E$4:$E$15,MATCH(B69,Clientes!$A$4:$A$15,0))</f>
        <v>1</v>
      </c>
      <c r="I69" s="15">
        <f t="shared" si="1"/>
        <v>21511</v>
      </c>
    </row>
    <row r="70" spans="1:9" x14ac:dyDescent="0.3">
      <c r="A70" s="13">
        <v>45292</v>
      </c>
      <c r="B70" t="s">
        <v>30</v>
      </c>
      <c r="C70" t="s">
        <v>66</v>
      </c>
      <c r="D70" t="str">
        <f>INDEX(Clientes!$B$4:$B$15,MATCH(B70,Clientes!$A$4:$A$15,0))</f>
        <v>Ferretería El Tornillo</v>
      </c>
      <c r="E70" t="str">
        <f>INDEX(Catalogo_Servicios!$C$4:$C$24,MATCH(C70,Catalogo_Servicios!$A$4:$A$24,0))</f>
        <v>Declaración mensual de retenciones (D-103)</v>
      </c>
      <c r="F70" s="14">
        <v>0.25</v>
      </c>
      <c r="G70" s="15">
        <f>Parametros!$B$4</f>
        <v>28681</v>
      </c>
      <c r="H70" s="14">
        <f>INDEX(Clientes!$E$4:$E$15,MATCH(B70,Clientes!$A$4:$A$15,0))</f>
        <v>1</v>
      </c>
      <c r="I70" s="15">
        <f t="shared" si="1"/>
        <v>7170</v>
      </c>
    </row>
    <row r="71" spans="1:9" x14ac:dyDescent="0.3">
      <c r="A71" s="13">
        <v>45292</v>
      </c>
      <c r="B71" t="s">
        <v>31</v>
      </c>
      <c r="C71" t="s">
        <v>65</v>
      </c>
      <c r="D71" t="str">
        <f>INDEX(Clientes!$B$4:$B$15,MATCH(B71,Clientes!$A$4:$A$15,0))</f>
        <v>Clínica Dental Sonrisa</v>
      </c>
      <c r="E71" t="str">
        <f>INDEX(Catalogo_Servicios!$C$4:$C$24,MATCH(C71,Catalogo_Servicios!$A$4:$A$24,0))</f>
        <v>Declaración mensual de IVA (D-104)</v>
      </c>
      <c r="F71" s="14">
        <v>0.75</v>
      </c>
      <c r="G71" s="15">
        <f>Parametros!$B$4</f>
        <v>28681</v>
      </c>
      <c r="H71" s="14">
        <f>INDEX(Clientes!$E$4:$E$15,MATCH(B71,Clientes!$A$4:$A$15,0))</f>
        <v>1.1000000000000001</v>
      </c>
      <c r="I71" s="15">
        <f t="shared" si="1"/>
        <v>23662</v>
      </c>
    </row>
    <row r="72" spans="1:9" x14ac:dyDescent="0.3">
      <c r="A72" s="13">
        <v>45292</v>
      </c>
      <c r="B72" t="s">
        <v>32</v>
      </c>
      <c r="C72" t="s">
        <v>65</v>
      </c>
      <c r="D72" t="str">
        <f>INDEX(Clientes!$B$4:$B$15,MATCH(B72,Clientes!$A$4:$A$15,0))</f>
        <v>Soda y Restaurante Doña Lela</v>
      </c>
      <c r="E72" t="str">
        <f>INDEX(Catalogo_Servicios!$C$4:$C$24,MATCH(C72,Catalogo_Servicios!$A$4:$A$24,0))</f>
        <v>Declaración mensual de IVA (D-104)</v>
      </c>
      <c r="F72" s="14">
        <v>0.75</v>
      </c>
      <c r="G72" s="15">
        <f>Parametros!$B$4</f>
        <v>28681</v>
      </c>
      <c r="H72" s="14">
        <f>INDEX(Clientes!$E$4:$E$15,MATCH(B72,Clientes!$A$4:$A$15,0))</f>
        <v>1</v>
      </c>
      <c r="I72" s="15">
        <f t="shared" si="1"/>
        <v>21511</v>
      </c>
    </row>
    <row r="73" spans="1:9" x14ac:dyDescent="0.3">
      <c r="A73" s="13">
        <v>45292</v>
      </c>
      <c r="B73" t="s">
        <v>33</v>
      </c>
      <c r="C73" t="s">
        <v>65</v>
      </c>
      <c r="D73" t="str">
        <f>INDEX(Clientes!$B$4:$B$15,MATCH(B73,Clientes!$A$4:$A$15,0))</f>
        <v>Transportes Rápidos del Valle</v>
      </c>
      <c r="E73" t="str">
        <f>INDEX(Catalogo_Servicios!$C$4:$C$24,MATCH(C73,Catalogo_Servicios!$A$4:$A$24,0))</f>
        <v>Declaración mensual de IVA (D-104)</v>
      </c>
      <c r="F73" s="14">
        <v>0.75</v>
      </c>
      <c r="G73" s="15">
        <f>Parametros!$B$4</f>
        <v>28681</v>
      </c>
      <c r="H73" s="14">
        <f>INDEX(Clientes!$E$4:$E$15,MATCH(B73,Clientes!$A$4:$A$15,0))</f>
        <v>1</v>
      </c>
      <c r="I73" s="15">
        <f t="shared" si="1"/>
        <v>21511</v>
      </c>
    </row>
    <row r="74" spans="1:9" x14ac:dyDescent="0.3">
      <c r="A74" s="13">
        <v>45292</v>
      </c>
      <c r="B74" t="s">
        <v>33</v>
      </c>
      <c r="C74" t="s">
        <v>66</v>
      </c>
      <c r="D74" t="str">
        <f>INDEX(Clientes!$B$4:$B$15,MATCH(B74,Clientes!$A$4:$A$15,0))</f>
        <v>Transportes Rápidos del Valle</v>
      </c>
      <c r="E74" t="str">
        <f>INDEX(Catalogo_Servicios!$C$4:$C$24,MATCH(C74,Catalogo_Servicios!$A$4:$A$24,0))</f>
        <v>Declaración mensual de retenciones (D-103)</v>
      </c>
      <c r="F74" s="14">
        <v>0.25</v>
      </c>
      <c r="G74" s="15">
        <f>Parametros!$B$4</f>
        <v>28681</v>
      </c>
      <c r="H74" s="14">
        <f>INDEX(Clientes!$E$4:$E$15,MATCH(B74,Clientes!$A$4:$A$15,0))</f>
        <v>1</v>
      </c>
      <c r="I74" s="15">
        <f t="shared" si="1"/>
        <v>7170</v>
      </c>
    </row>
    <row r="75" spans="1:9" x14ac:dyDescent="0.3">
      <c r="A75" s="13">
        <v>45292</v>
      </c>
      <c r="B75" t="s">
        <v>33</v>
      </c>
      <c r="C75" t="s">
        <v>67</v>
      </c>
      <c r="D75" t="str">
        <f>INDEX(Clientes!$B$4:$B$15,MATCH(B75,Clientes!$A$4:$A$15,0))</f>
        <v>Transportes Rápidos del Valle</v>
      </c>
      <c r="E75" t="str">
        <f>INDEX(Catalogo_Servicios!$C$4:$C$24,MATCH(C75,Catalogo_Servicios!$A$4:$A$24,0))</f>
        <v>Cálculo de planillas y cargas sociales (CCSS/INS)</v>
      </c>
      <c r="F75" s="14">
        <v>6</v>
      </c>
      <c r="G75" s="15">
        <f>Parametros!$B$4</f>
        <v>28681</v>
      </c>
      <c r="H75" s="14">
        <f>INDEX(Clientes!$E$4:$E$15,MATCH(B75,Clientes!$A$4:$A$15,0))</f>
        <v>1</v>
      </c>
      <c r="I75" s="15">
        <f t="shared" si="1"/>
        <v>172086</v>
      </c>
    </row>
    <row r="76" spans="1:9" x14ac:dyDescent="0.3">
      <c r="A76" s="13">
        <v>45292</v>
      </c>
      <c r="B76" t="s">
        <v>33</v>
      </c>
      <c r="C76" t="s">
        <v>70</v>
      </c>
      <c r="D76" t="str">
        <f>INDEX(Clientes!$B$4:$B$15,MATCH(B76,Clientes!$A$4:$A$15,0))</f>
        <v>Transportes Rápidos del Valle</v>
      </c>
      <c r="E76" t="str">
        <f>INDEX(Catalogo_Servicios!$C$4:$C$24,MATCH(C76,Catalogo_Servicios!$A$4:$A$24,0))</f>
        <v>Estados financieros anuales / cierre fiscal</v>
      </c>
      <c r="F76" s="14">
        <v>6</v>
      </c>
      <c r="G76" s="15">
        <f>Parametros!$B$4</f>
        <v>28681</v>
      </c>
      <c r="H76" s="14">
        <f>INDEX(Clientes!$E$4:$E$15,MATCH(B76,Clientes!$A$4:$A$15,0))</f>
        <v>1</v>
      </c>
      <c r="I76" s="15">
        <f t="shared" si="1"/>
        <v>172086</v>
      </c>
    </row>
    <row r="77" spans="1:9" x14ac:dyDescent="0.3">
      <c r="A77" s="13">
        <v>45292</v>
      </c>
      <c r="B77" t="s">
        <v>33</v>
      </c>
      <c r="C77" t="s">
        <v>71</v>
      </c>
      <c r="D77" t="str">
        <f>INDEX(Clientes!$B$4:$B$15,MATCH(B77,Clientes!$A$4:$A$15,0))</f>
        <v>Transportes Rápidos del Valle</v>
      </c>
      <c r="E77" t="str">
        <f>INDEX(Catalogo_Servicios!$C$4:$C$24,MATCH(C77,Catalogo_Servicios!$A$4:$A$24,0))</f>
        <v>Conciliación anual de planillas (INS/CCSS)</v>
      </c>
      <c r="F77" s="14">
        <v>2</v>
      </c>
      <c r="G77" s="15">
        <f>Parametros!$B$4</f>
        <v>28681</v>
      </c>
      <c r="H77" s="14">
        <f>INDEX(Clientes!$E$4:$E$15,MATCH(B77,Clientes!$A$4:$A$15,0))</f>
        <v>1</v>
      </c>
      <c r="I77" s="15">
        <f t="shared" si="1"/>
        <v>57362</v>
      </c>
    </row>
    <row r="78" spans="1:9" x14ac:dyDescent="0.3">
      <c r="A78" s="13">
        <v>45292</v>
      </c>
      <c r="B78" t="s">
        <v>35</v>
      </c>
      <c r="C78" t="s">
        <v>65</v>
      </c>
      <c r="D78" t="str">
        <f>INDEX(Clientes!$B$4:$B$15,MATCH(B78,Clientes!$A$4:$A$15,0))</f>
        <v>Taller Mecánico Hermanos Mora</v>
      </c>
      <c r="E78" t="str">
        <f>INDEX(Catalogo_Servicios!$C$4:$C$24,MATCH(C78,Catalogo_Servicios!$A$4:$A$24,0))</f>
        <v>Declaración mensual de IVA (D-104)</v>
      </c>
      <c r="F78" s="14">
        <v>0.75</v>
      </c>
      <c r="G78" s="15">
        <f>Parametros!$B$4</f>
        <v>28681</v>
      </c>
      <c r="H78" s="14">
        <f>INDEX(Clientes!$E$4:$E$15,MATCH(B78,Clientes!$A$4:$A$15,0))</f>
        <v>1</v>
      </c>
      <c r="I78" s="15">
        <f t="shared" si="1"/>
        <v>21511</v>
      </c>
    </row>
    <row r="79" spans="1:9" x14ac:dyDescent="0.3">
      <c r="A79" s="13">
        <v>45292</v>
      </c>
      <c r="B79" t="s">
        <v>36</v>
      </c>
      <c r="C79" t="s">
        <v>65</v>
      </c>
      <c r="D79" t="str">
        <f>INDEX(Clientes!$B$4:$B$15,MATCH(B79,Clientes!$A$4:$A$15,0))</f>
        <v>Agroservicios Cartago</v>
      </c>
      <c r="E79" t="str">
        <f>INDEX(Catalogo_Servicios!$C$4:$C$24,MATCH(C79,Catalogo_Servicios!$A$4:$A$24,0))</f>
        <v>Declaración mensual de IVA (D-104)</v>
      </c>
      <c r="F79" s="14">
        <v>0.75</v>
      </c>
      <c r="G79" s="15">
        <f>Parametros!$B$4</f>
        <v>28681</v>
      </c>
      <c r="H79" s="14">
        <f>INDEX(Clientes!$E$4:$E$15,MATCH(B79,Clientes!$A$4:$A$15,0))</f>
        <v>1</v>
      </c>
      <c r="I79" s="15">
        <f t="shared" si="1"/>
        <v>21511</v>
      </c>
    </row>
    <row r="80" spans="1:9" x14ac:dyDescent="0.3">
      <c r="A80" s="13">
        <v>45292</v>
      </c>
      <c r="B80" t="s">
        <v>36</v>
      </c>
      <c r="C80" t="s">
        <v>66</v>
      </c>
      <c r="D80" t="str">
        <f>INDEX(Clientes!$B$4:$B$15,MATCH(B80,Clientes!$A$4:$A$15,0))</f>
        <v>Agroservicios Cartago</v>
      </c>
      <c r="E80" t="str">
        <f>INDEX(Catalogo_Servicios!$C$4:$C$24,MATCH(C80,Catalogo_Servicios!$A$4:$A$24,0))</f>
        <v>Declaración mensual de retenciones (D-103)</v>
      </c>
      <c r="F80" s="14">
        <v>0.25</v>
      </c>
      <c r="G80" s="15">
        <f>Parametros!$B$4</f>
        <v>28681</v>
      </c>
      <c r="H80" s="14">
        <f>INDEX(Clientes!$E$4:$E$15,MATCH(B80,Clientes!$A$4:$A$15,0))</f>
        <v>1</v>
      </c>
      <c r="I80" s="15">
        <f t="shared" si="1"/>
        <v>7170</v>
      </c>
    </row>
    <row r="81" spans="1:9" x14ac:dyDescent="0.3">
      <c r="A81" s="13">
        <v>45292</v>
      </c>
      <c r="B81" t="s">
        <v>38</v>
      </c>
      <c r="C81" t="s">
        <v>68</v>
      </c>
      <c r="D81" t="str">
        <f>INDEX(Clientes!$B$4:$B$15,MATCH(B81,Clientes!$A$4:$A$15,0))</f>
        <v>Panadería La Espiga</v>
      </c>
      <c r="E81" t="str">
        <f>INDEX(Catalogo_Servicios!$C$4:$C$24,MATCH(C81,Catalogo_Servicios!$A$4:$A$24,0))</f>
        <v>Asesoría contable, financiera y tributaria</v>
      </c>
      <c r="F81" s="14">
        <v>1.5</v>
      </c>
      <c r="G81" s="15">
        <f>Parametros!$B$4</f>
        <v>28681</v>
      </c>
      <c r="H81" s="14">
        <f>INDEX(Clientes!$E$4:$E$15,MATCH(B81,Clientes!$A$4:$A$15,0))</f>
        <v>1</v>
      </c>
      <c r="I81" s="15">
        <f t="shared" si="1"/>
        <v>43022</v>
      </c>
    </row>
    <row r="82" spans="1:9" x14ac:dyDescent="0.3">
      <c r="A82" s="13">
        <v>45292</v>
      </c>
      <c r="B82" t="s">
        <v>38</v>
      </c>
      <c r="C82" t="s">
        <v>65</v>
      </c>
      <c r="D82" t="str">
        <f>INDEX(Clientes!$B$4:$B$15,MATCH(B82,Clientes!$A$4:$A$15,0))</f>
        <v>Panadería La Espiga</v>
      </c>
      <c r="E82" t="str">
        <f>INDEX(Catalogo_Servicios!$C$4:$C$24,MATCH(C82,Catalogo_Servicios!$A$4:$A$24,0))</f>
        <v>Declaración mensual de IVA (D-104)</v>
      </c>
      <c r="F82" s="14">
        <v>0.75</v>
      </c>
      <c r="G82" s="15">
        <f>Parametros!$B$4</f>
        <v>28681</v>
      </c>
      <c r="H82" s="14">
        <f>INDEX(Clientes!$E$4:$E$15,MATCH(B82,Clientes!$A$4:$A$15,0))</f>
        <v>1</v>
      </c>
      <c r="I82" s="15">
        <f t="shared" si="1"/>
        <v>21511</v>
      </c>
    </row>
    <row r="83" spans="1:9" x14ac:dyDescent="0.3">
      <c r="A83" s="13">
        <v>45292</v>
      </c>
      <c r="B83" t="s">
        <v>38</v>
      </c>
      <c r="C83" t="s">
        <v>67</v>
      </c>
      <c r="D83" t="str">
        <f>INDEX(Clientes!$B$4:$B$15,MATCH(B83,Clientes!$A$4:$A$15,0))</f>
        <v>Panadería La Espiga</v>
      </c>
      <c r="E83" t="str">
        <f>INDEX(Catalogo_Servicios!$C$4:$C$24,MATCH(C83,Catalogo_Servicios!$A$4:$A$24,0))</f>
        <v>Cálculo de planillas y cargas sociales (CCSS/INS)</v>
      </c>
      <c r="F83" s="14">
        <v>6</v>
      </c>
      <c r="G83" s="15">
        <f>Parametros!$B$4</f>
        <v>28681</v>
      </c>
      <c r="H83" s="14">
        <f>INDEX(Clientes!$E$4:$E$15,MATCH(B83,Clientes!$A$4:$A$15,0))</f>
        <v>1</v>
      </c>
      <c r="I83" s="15">
        <f t="shared" si="1"/>
        <v>172086</v>
      </c>
    </row>
    <row r="84" spans="1:9" x14ac:dyDescent="0.3">
      <c r="A84" s="13">
        <v>45292</v>
      </c>
      <c r="B84" t="s">
        <v>38</v>
      </c>
      <c r="C84" t="s">
        <v>71</v>
      </c>
      <c r="D84" t="str">
        <f>INDEX(Clientes!$B$4:$B$15,MATCH(B84,Clientes!$A$4:$A$15,0))</f>
        <v>Panadería La Espiga</v>
      </c>
      <c r="E84" t="str">
        <f>INDEX(Catalogo_Servicios!$C$4:$C$24,MATCH(C84,Catalogo_Servicios!$A$4:$A$24,0))</f>
        <v>Conciliación anual de planillas (INS/CCSS)</v>
      </c>
      <c r="F84" s="14">
        <v>2</v>
      </c>
      <c r="G84" s="15">
        <f>Parametros!$B$4</f>
        <v>28681</v>
      </c>
      <c r="H84" s="14">
        <f>INDEX(Clientes!$E$4:$E$15,MATCH(B84,Clientes!$A$4:$A$15,0))</f>
        <v>1</v>
      </c>
      <c r="I84" s="15">
        <f t="shared" si="1"/>
        <v>57362</v>
      </c>
    </row>
    <row r="85" spans="1:9" x14ac:dyDescent="0.3">
      <c r="A85" s="13">
        <v>45323</v>
      </c>
      <c r="B85" t="s">
        <v>29</v>
      </c>
      <c r="C85" t="s">
        <v>64</v>
      </c>
      <c r="D85" t="str">
        <f>INDEX(Clientes!$B$4:$B$15,MATCH(B85,Clientes!$A$4:$A$15,0))</f>
        <v>Distribuidora Los Andes S.A.</v>
      </c>
      <c r="E85" t="str">
        <f>INDEX(Catalogo_Servicios!$C$4:$C$24,MATCH(C85,Catalogo_Servicios!$A$4:$A$24,0))</f>
        <v>Estados financieros mensuales</v>
      </c>
      <c r="F85" s="14">
        <v>3</v>
      </c>
      <c r="G85" s="15">
        <f>Parametros!$B$4</f>
        <v>28681</v>
      </c>
      <c r="H85" s="14">
        <f>INDEX(Clientes!$E$4:$E$15,MATCH(B85,Clientes!$A$4:$A$15,0))</f>
        <v>1</v>
      </c>
      <c r="I85" s="15">
        <f t="shared" si="1"/>
        <v>86043</v>
      </c>
    </row>
    <row r="86" spans="1:9" x14ac:dyDescent="0.3">
      <c r="A86" s="13">
        <v>45323</v>
      </c>
      <c r="B86" t="s">
        <v>29</v>
      </c>
      <c r="C86" t="s">
        <v>65</v>
      </c>
      <c r="D86" t="str">
        <f>INDEX(Clientes!$B$4:$B$15,MATCH(B86,Clientes!$A$4:$A$15,0))</f>
        <v>Distribuidora Los Andes S.A.</v>
      </c>
      <c r="E86" t="str">
        <f>INDEX(Catalogo_Servicios!$C$4:$C$24,MATCH(C86,Catalogo_Servicios!$A$4:$A$24,0))</f>
        <v>Declaración mensual de IVA (D-104)</v>
      </c>
      <c r="F86" s="14">
        <v>0.75</v>
      </c>
      <c r="G86" s="15">
        <f>Parametros!$B$4</f>
        <v>28681</v>
      </c>
      <c r="H86" s="14">
        <f>INDEX(Clientes!$E$4:$E$15,MATCH(B86,Clientes!$A$4:$A$15,0))</f>
        <v>1</v>
      </c>
      <c r="I86" s="15">
        <f t="shared" si="1"/>
        <v>21511</v>
      </c>
    </row>
    <row r="87" spans="1:9" x14ac:dyDescent="0.3">
      <c r="A87" s="13">
        <v>45323</v>
      </c>
      <c r="B87" t="s">
        <v>29</v>
      </c>
      <c r="C87" t="s">
        <v>66</v>
      </c>
      <c r="D87" t="str">
        <f>INDEX(Clientes!$B$4:$B$15,MATCH(B87,Clientes!$A$4:$A$15,0))</f>
        <v>Distribuidora Los Andes S.A.</v>
      </c>
      <c r="E87" t="str">
        <f>INDEX(Catalogo_Servicios!$C$4:$C$24,MATCH(C87,Catalogo_Servicios!$A$4:$A$24,0))</f>
        <v>Declaración mensual de retenciones (D-103)</v>
      </c>
      <c r="F87" s="14">
        <v>0.25</v>
      </c>
      <c r="G87" s="15">
        <f>Parametros!$B$4</f>
        <v>28681</v>
      </c>
      <c r="H87" s="14">
        <f>INDEX(Clientes!$E$4:$E$15,MATCH(B87,Clientes!$A$4:$A$15,0))</f>
        <v>1</v>
      </c>
      <c r="I87" s="15">
        <f t="shared" si="1"/>
        <v>7170</v>
      </c>
    </row>
    <row r="88" spans="1:9" x14ac:dyDescent="0.3">
      <c r="A88" s="13">
        <v>45323</v>
      </c>
      <c r="B88" t="s">
        <v>29</v>
      </c>
      <c r="C88" t="s">
        <v>67</v>
      </c>
      <c r="D88" t="str">
        <f>INDEX(Clientes!$B$4:$B$15,MATCH(B88,Clientes!$A$4:$A$15,0))</f>
        <v>Distribuidora Los Andes S.A.</v>
      </c>
      <c r="E88" t="str">
        <f>INDEX(Catalogo_Servicios!$C$4:$C$24,MATCH(C88,Catalogo_Servicios!$A$4:$A$24,0))</f>
        <v>Cálculo de planillas y cargas sociales (CCSS/INS)</v>
      </c>
      <c r="F88" s="14">
        <v>22</v>
      </c>
      <c r="G88" s="15">
        <f>Parametros!$B$4</f>
        <v>28681</v>
      </c>
      <c r="H88" s="14">
        <f>INDEX(Clientes!$E$4:$E$15,MATCH(B88,Clientes!$A$4:$A$15,0))</f>
        <v>1</v>
      </c>
      <c r="I88" s="15">
        <f t="shared" si="1"/>
        <v>630982</v>
      </c>
    </row>
    <row r="89" spans="1:9" x14ac:dyDescent="0.3">
      <c r="A89" s="13">
        <v>45323</v>
      </c>
      <c r="B89" t="s">
        <v>29</v>
      </c>
      <c r="C89" t="s">
        <v>72</v>
      </c>
      <c r="D89" t="str">
        <f>INDEX(Clientes!$B$4:$B$15,MATCH(B89,Clientes!$A$4:$A$15,0))</f>
        <v>Distribuidora Los Andes S.A.</v>
      </c>
      <c r="E89" t="str">
        <f>INDEX(Catalogo_Servicios!$C$4:$C$24,MATCH(C89,Catalogo_Servicios!$A$4:$A$24,0))</f>
        <v>Declaración informativa anual (D-151)</v>
      </c>
      <c r="F89" s="14">
        <v>0.5</v>
      </c>
      <c r="G89" s="15">
        <f>Parametros!$B$4</f>
        <v>28681</v>
      </c>
      <c r="H89" s="14">
        <f>INDEX(Clientes!$E$4:$E$15,MATCH(B89,Clientes!$A$4:$A$15,0))</f>
        <v>1</v>
      </c>
      <c r="I89" s="15">
        <f t="shared" si="1"/>
        <v>14341</v>
      </c>
    </row>
    <row r="90" spans="1:9" x14ac:dyDescent="0.3">
      <c r="A90" s="13">
        <v>45323</v>
      </c>
      <c r="B90" t="s">
        <v>30</v>
      </c>
      <c r="C90" t="s">
        <v>64</v>
      </c>
      <c r="D90" t="str">
        <f>INDEX(Clientes!$B$4:$B$15,MATCH(B90,Clientes!$A$4:$A$15,0))</f>
        <v>Ferretería El Tornillo</v>
      </c>
      <c r="E90" t="str">
        <f>INDEX(Catalogo_Servicios!$C$4:$C$24,MATCH(C90,Catalogo_Servicios!$A$4:$A$24,0))</f>
        <v>Estados financieros mensuales</v>
      </c>
      <c r="F90" s="14">
        <v>3</v>
      </c>
      <c r="G90" s="15">
        <f>Parametros!$B$4</f>
        <v>28681</v>
      </c>
      <c r="H90" s="14">
        <f>INDEX(Clientes!$E$4:$E$15,MATCH(B90,Clientes!$A$4:$A$15,0))</f>
        <v>1</v>
      </c>
      <c r="I90" s="15">
        <f t="shared" si="1"/>
        <v>86043</v>
      </c>
    </row>
    <row r="91" spans="1:9" x14ac:dyDescent="0.3">
      <c r="A91" s="13">
        <v>45323</v>
      </c>
      <c r="B91" t="s">
        <v>30</v>
      </c>
      <c r="C91" t="s">
        <v>65</v>
      </c>
      <c r="D91" t="str">
        <f>INDEX(Clientes!$B$4:$B$15,MATCH(B91,Clientes!$A$4:$A$15,0))</f>
        <v>Ferretería El Tornillo</v>
      </c>
      <c r="E91" t="str">
        <f>INDEX(Catalogo_Servicios!$C$4:$C$24,MATCH(C91,Catalogo_Servicios!$A$4:$A$24,0))</f>
        <v>Declaración mensual de IVA (D-104)</v>
      </c>
      <c r="F91" s="14">
        <v>0.75</v>
      </c>
      <c r="G91" s="15">
        <f>Parametros!$B$4</f>
        <v>28681</v>
      </c>
      <c r="H91" s="14">
        <f>INDEX(Clientes!$E$4:$E$15,MATCH(B91,Clientes!$A$4:$A$15,0))</f>
        <v>1</v>
      </c>
      <c r="I91" s="15">
        <f t="shared" si="1"/>
        <v>21511</v>
      </c>
    </row>
    <row r="92" spans="1:9" x14ac:dyDescent="0.3">
      <c r="A92" s="13">
        <v>45323</v>
      </c>
      <c r="B92" t="s">
        <v>30</v>
      </c>
      <c r="C92" t="s">
        <v>66</v>
      </c>
      <c r="D92" t="str">
        <f>INDEX(Clientes!$B$4:$B$15,MATCH(B92,Clientes!$A$4:$A$15,0))</f>
        <v>Ferretería El Tornillo</v>
      </c>
      <c r="E92" t="str">
        <f>INDEX(Catalogo_Servicios!$C$4:$C$24,MATCH(C92,Catalogo_Servicios!$A$4:$A$24,0))</f>
        <v>Declaración mensual de retenciones (D-103)</v>
      </c>
      <c r="F92" s="14">
        <v>0.25</v>
      </c>
      <c r="G92" s="15">
        <f>Parametros!$B$4</f>
        <v>28681</v>
      </c>
      <c r="H92" s="14">
        <f>INDEX(Clientes!$E$4:$E$15,MATCH(B92,Clientes!$A$4:$A$15,0))</f>
        <v>1</v>
      </c>
      <c r="I92" s="15">
        <f t="shared" si="1"/>
        <v>7170</v>
      </c>
    </row>
    <row r="93" spans="1:9" x14ac:dyDescent="0.3">
      <c r="A93" s="13">
        <v>45323</v>
      </c>
      <c r="B93" t="s">
        <v>30</v>
      </c>
      <c r="C93" t="s">
        <v>72</v>
      </c>
      <c r="D93" t="str">
        <f>INDEX(Clientes!$B$4:$B$15,MATCH(B93,Clientes!$A$4:$A$15,0))</f>
        <v>Ferretería El Tornillo</v>
      </c>
      <c r="E93" t="str">
        <f>INDEX(Catalogo_Servicios!$C$4:$C$24,MATCH(C93,Catalogo_Servicios!$A$4:$A$24,0))</f>
        <v>Declaración informativa anual (D-151)</v>
      </c>
      <c r="F93" s="14">
        <v>0.5</v>
      </c>
      <c r="G93" s="15">
        <f>Parametros!$B$4</f>
        <v>28681</v>
      </c>
      <c r="H93" s="14">
        <f>INDEX(Clientes!$E$4:$E$15,MATCH(B93,Clientes!$A$4:$A$15,0))</f>
        <v>1</v>
      </c>
      <c r="I93" s="15">
        <f t="shared" si="1"/>
        <v>14341</v>
      </c>
    </row>
    <row r="94" spans="1:9" x14ac:dyDescent="0.3">
      <c r="A94" s="13">
        <v>45323</v>
      </c>
      <c r="B94" t="s">
        <v>31</v>
      </c>
      <c r="C94" t="s">
        <v>65</v>
      </c>
      <c r="D94" t="str">
        <f>INDEX(Clientes!$B$4:$B$15,MATCH(B94,Clientes!$A$4:$A$15,0))</f>
        <v>Clínica Dental Sonrisa</v>
      </c>
      <c r="E94" t="str">
        <f>INDEX(Catalogo_Servicios!$C$4:$C$24,MATCH(C94,Catalogo_Servicios!$A$4:$A$24,0))</f>
        <v>Declaración mensual de IVA (D-104)</v>
      </c>
      <c r="F94" s="14">
        <v>0.75</v>
      </c>
      <c r="G94" s="15">
        <f>Parametros!$B$4</f>
        <v>28681</v>
      </c>
      <c r="H94" s="14">
        <f>INDEX(Clientes!$E$4:$E$15,MATCH(B94,Clientes!$A$4:$A$15,0))</f>
        <v>1.1000000000000001</v>
      </c>
      <c r="I94" s="15">
        <f t="shared" si="1"/>
        <v>23662</v>
      </c>
    </row>
    <row r="95" spans="1:9" x14ac:dyDescent="0.3">
      <c r="A95" s="13">
        <v>45323</v>
      </c>
      <c r="B95" t="s">
        <v>31</v>
      </c>
      <c r="C95" t="s">
        <v>72</v>
      </c>
      <c r="D95" t="str">
        <f>INDEX(Clientes!$B$4:$B$15,MATCH(B95,Clientes!$A$4:$A$15,0))</f>
        <v>Clínica Dental Sonrisa</v>
      </c>
      <c r="E95" t="str">
        <f>INDEX(Catalogo_Servicios!$C$4:$C$24,MATCH(C95,Catalogo_Servicios!$A$4:$A$24,0))</f>
        <v>Declaración informativa anual (D-151)</v>
      </c>
      <c r="F95" s="14">
        <v>0.5</v>
      </c>
      <c r="G95" s="15">
        <f>Parametros!$B$4</f>
        <v>28681</v>
      </c>
      <c r="H95" s="14">
        <f>INDEX(Clientes!$E$4:$E$15,MATCH(B95,Clientes!$A$4:$A$15,0))</f>
        <v>1.1000000000000001</v>
      </c>
      <c r="I95" s="15">
        <f t="shared" si="1"/>
        <v>15775</v>
      </c>
    </row>
    <row r="96" spans="1:9" x14ac:dyDescent="0.3">
      <c r="A96" s="13">
        <v>45323</v>
      </c>
      <c r="B96" t="s">
        <v>32</v>
      </c>
      <c r="C96" t="s">
        <v>65</v>
      </c>
      <c r="D96" t="str">
        <f>INDEX(Clientes!$B$4:$B$15,MATCH(B96,Clientes!$A$4:$A$15,0))</f>
        <v>Soda y Restaurante Doña Lela</v>
      </c>
      <c r="E96" t="str">
        <f>INDEX(Catalogo_Servicios!$C$4:$C$24,MATCH(C96,Catalogo_Servicios!$A$4:$A$24,0))</f>
        <v>Declaración mensual de IVA (D-104)</v>
      </c>
      <c r="F96" s="14">
        <v>0.75</v>
      </c>
      <c r="G96" s="15">
        <f>Parametros!$B$4</f>
        <v>28681</v>
      </c>
      <c r="H96" s="14">
        <f>INDEX(Clientes!$E$4:$E$15,MATCH(B96,Clientes!$A$4:$A$15,0))</f>
        <v>1</v>
      </c>
      <c r="I96" s="15">
        <f t="shared" si="1"/>
        <v>21511</v>
      </c>
    </row>
    <row r="97" spans="1:9" x14ac:dyDescent="0.3">
      <c r="A97" s="13">
        <v>45323</v>
      </c>
      <c r="B97" t="s">
        <v>32</v>
      </c>
      <c r="C97" t="s">
        <v>72</v>
      </c>
      <c r="D97" t="str">
        <f>INDEX(Clientes!$B$4:$B$15,MATCH(B97,Clientes!$A$4:$A$15,0))</f>
        <v>Soda y Restaurante Doña Lela</v>
      </c>
      <c r="E97" t="str">
        <f>INDEX(Catalogo_Servicios!$C$4:$C$24,MATCH(C97,Catalogo_Servicios!$A$4:$A$24,0))</f>
        <v>Declaración informativa anual (D-151)</v>
      </c>
      <c r="F97" s="14">
        <v>0.5</v>
      </c>
      <c r="G97" s="15">
        <f>Parametros!$B$4</f>
        <v>28681</v>
      </c>
      <c r="H97" s="14">
        <f>INDEX(Clientes!$E$4:$E$15,MATCH(B97,Clientes!$A$4:$A$15,0))</f>
        <v>1</v>
      </c>
      <c r="I97" s="15">
        <f t="shared" si="1"/>
        <v>14341</v>
      </c>
    </row>
    <row r="98" spans="1:9" x14ac:dyDescent="0.3">
      <c r="A98" s="13">
        <v>45323</v>
      </c>
      <c r="B98" t="s">
        <v>33</v>
      </c>
      <c r="C98" t="s">
        <v>65</v>
      </c>
      <c r="D98" t="str">
        <f>INDEX(Clientes!$B$4:$B$15,MATCH(B98,Clientes!$A$4:$A$15,0))</f>
        <v>Transportes Rápidos del Valle</v>
      </c>
      <c r="E98" t="str">
        <f>INDEX(Catalogo_Servicios!$C$4:$C$24,MATCH(C98,Catalogo_Servicios!$A$4:$A$24,0))</f>
        <v>Declaración mensual de IVA (D-104)</v>
      </c>
      <c r="F98" s="14">
        <v>0.75</v>
      </c>
      <c r="G98" s="15">
        <f>Parametros!$B$4</f>
        <v>28681</v>
      </c>
      <c r="H98" s="14">
        <f>INDEX(Clientes!$E$4:$E$15,MATCH(B98,Clientes!$A$4:$A$15,0))</f>
        <v>1</v>
      </c>
      <c r="I98" s="15">
        <f t="shared" si="1"/>
        <v>21511</v>
      </c>
    </row>
    <row r="99" spans="1:9" x14ac:dyDescent="0.3">
      <c r="A99" s="13">
        <v>45323</v>
      </c>
      <c r="B99" t="s">
        <v>33</v>
      </c>
      <c r="C99" t="s">
        <v>66</v>
      </c>
      <c r="D99" t="str">
        <f>INDEX(Clientes!$B$4:$B$15,MATCH(B99,Clientes!$A$4:$A$15,0))</f>
        <v>Transportes Rápidos del Valle</v>
      </c>
      <c r="E99" t="str">
        <f>INDEX(Catalogo_Servicios!$C$4:$C$24,MATCH(C99,Catalogo_Servicios!$A$4:$A$24,0))</f>
        <v>Declaración mensual de retenciones (D-103)</v>
      </c>
      <c r="F99" s="14">
        <v>0.25</v>
      </c>
      <c r="G99" s="15">
        <f>Parametros!$B$4</f>
        <v>28681</v>
      </c>
      <c r="H99" s="14">
        <f>INDEX(Clientes!$E$4:$E$15,MATCH(B99,Clientes!$A$4:$A$15,0))</f>
        <v>1</v>
      </c>
      <c r="I99" s="15">
        <f t="shared" si="1"/>
        <v>7170</v>
      </c>
    </row>
    <row r="100" spans="1:9" x14ac:dyDescent="0.3">
      <c r="A100" s="13">
        <v>45323</v>
      </c>
      <c r="B100" t="s">
        <v>33</v>
      </c>
      <c r="C100" t="s">
        <v>67</v>
      </c>
      <c r="D100" t="str">
        <f>INDEX(Clientes!$B$4:$B$15,MATCH(B100,Clientes!$A$4:$A$15,0))</f>
        <v>Transportes Rápidos del Valle</v>
      </c>
      <c r="E100" t="str">
        <f>INDEX(Catalogo_Servicios!$C$4:$C$24,MATCH(C100,Catalogo_Servicios!$A$4:$A$24,0))</f>
        <v>Cálculo de planillas y cargas sociales (CCSS/INS)</v>
      </c>
      <c r="F100" s="14">
        <v>6</v>
      </c>
      <c r="G100" s="15">
        <f>Parametros!$B$4</f>
        <v>28681</v>
      </c>
      <c r="H100" s="14">
        <f>INDEX(Clientes!$E$4:$E$15,MATCH(B100,Clientes!$A$4:$A$15,0))</f>
        <v>1</v>
      </c>
      <c r="I100" s="15">
        <f t="shared" si="1"/>
        <v>172086</v>
      </c>
    </row>
    <row r="101" spans="1:9" x14ac:dyDescent="0.3">
      <c r="A101" s="13">
        <v>45323</v>
      </c>
      <c r="B101" t="s">
        <v>33</v>
      </c>
      <c r="C101" t="s">
        <v>72</v>
      </c>
      <c r="D101" t="str">
        <f>INDEX(Clientes!$B$4:$B$15,MATCH(B101,Clientes!$A$4:$A$15,0))</f>
        <v>Transportes Rápidos del Valle</v>
      </c>
      <c r="E101" t="str">
        <f>INDEX(Catalogo_Servicios!$C$4:$C$24,MATCH(C101,Catalogo_Servicios!$A$4:$A$24,0))</f>
        <v>Declaración informativa anual (D-151)</v>
      </c>
      <c r="F101" s="14">
        <v>0.5</v>
      </c>
      <c r="G101" s="15">
        <f>Parametros!$B$4</f>
        <v>28681</v>
      </c>
      <c r="H101" s="14">
        <f>INDEX(Clientes!$E$4:$E$15,MATCH(B101,Clientes!$A$4:$A$15,0))</f>
        <v>1</v>
      </c>
      <c r="I101" s="15">
        <f t="shared" si="1"/>
        <v>14341</v>
      </c>
    </row>
    <row r="102" spans="1:9" x14ac:dyDescent="0.3">
      <c r="A102" s="13">
        <v>45323</v>
      </c>
      <c r="B102" t="s">
        <v>35</v>
      </c>
      <c r="C102" t="s">
        <v>65</v>
      </c>
      <c r="D102" t="str">
        <f>INDEX(Clientes!$B$4:$B$15,MATCH(B102,Clientes!$A$4:$A$15,0))</f>
        <v>Taller Mecánico Hermanos Mora</v>
      </c>
      <c r="E102" t="str">
        <f>INDEX(Catalogo_Servicios!$C$4:$C$24,MATCH(C102,Catalogo_Servicios!$A$4:$A$24,0))</f>
        <v>Declaración mensual de IVA (D-104)</v>
      </c>
      <c r="F102" s="14">
        <v>0.75</v>
      </c>
      <c r="G102" s="15">
        <f>Parametros!$B$4</f>
        <v>28681</v>
      </c>
      <c r="H102" s="14">
        <f>INDEX(Clientes!$E$4:$E$15,MATCH(B102,Clientes!$A$4:$A$15,0))</f>
        <v>1</v>
      </c>
      <c r="I102" s="15">
        <f t="shared" si="1"/>
        <v>21511</v>
      </c>
    </row>
    <row r="103" spans="1:9" x14ac:dyDescent="0.3">
      <c r="A103" s="13">
        <v>45323</v>
      </c>
      <c r="B103" t="s">
        <v>35</v>
      </c>
      <c r="C103" t="s">
        <v>72</v>
      </c>
      <c r="D103" t="str">
        <f>INDEX(Clientes!$B$4:$B$15,MATCH(B103,Clientes!$A$4:$A$15,0))</f>
        <v>Taller Mecánico Hermanos Mora</v>
      </c>
      <c r="E103" t="str">
        <f>INDEX(Catalogo_Servicios!$C$4:$C$24,MATCH(C103,Catalogo_Servicios!$A$4:$A$24,0))</f>
        <v>Declaración informativa anual (D-151)</v>
      </c>
      <c r="F103" s="14">
        <v>0.5</v>
      </c>
      <c r="G103" s="15">
        <f>Parametros!$B$4</f>
        <v>28681</v>
      </c>
      <c r="H103" s="14">
        <f>INDEX(Clientes!$E$4:$E$15,MATCH(B103,Clientes!$A$4:$A$15,0))</f>
        <v>1</v>
      </c>
      <c r="I103" s="15">
        <f t="shared" si="1"/>
        <v>14341</v>
      </c>
    </row>
    <row r="104" spans="1:9" x14ac:dyDescent="0.3">
      <c r="A104" s="13">
        <v>45323</v>
      </c>
      <c r="B104" t="s">
        <v>36</v>
      </c>
      <c r="C104" t="s">
        <v>65</v>
      </c>
      <c r="D104" t="str">
        <f>INDEX(Clientes!$B$4:$B$15,MATCH(B104,Clientes!$A$4:$A$15,0))</f>
        <v>Agroservicios Cartago</v>
      </c>
      <c r="E104" t="str">
        <f>INDEX(Catalogo_Servicios!$C$4:$C$24,MATCH(C104,Catalogo_Servicios!$A$4:$A$24,0))</f>
        <v>Declaración mensual de IVA (D-104)</v>
      </c>
      <c r="F104" s="14">
        <v>0.75</v>
      </c>
      <c r="G104" s="15">
        <f>Parametros!$B$4</f>
        <v>28681</v>
      </c>
      <c r="H104" s="14">
        <f>INDEX(Clientes!$E$4:$E$15,MATCH(B104,Clientes!$A$4:$A$15,0))</f>
        <v>1</v>
      </c>
      <c r="I104" s="15">
        <f t="shared" si="1"/>
        <v>21511</v>
      </c>
    </row>
    <row r="105" spans="1:9" x14ac:dyDescent="0.3">
      <c r="A105" s="13">
        <v>45323</v>
      </c>
      <c r="B105" t="s">
        <v>36</v>
      </c>
      <c r="C105" t="s">
        <v>66</v>
      </c>
      <c r="D105" t="str">
        <f>INDEX(Clientes!$B$4:$B$15,MATCH(B105,Clientes!$A$4:$A$15,0))</f>
        <v>Agroservicios Cartago</v>
      </c>
      <c r="E105" t="str">
        <f>INDEX(Catalogo_Servicios!$C$4:$C$24,MATCH(C105,Catalogo_Servicios!$A$4:$A$24,0))</f>
        <v>Declaración mensual de retenciones (D-103)</v>
      </c>
      <c r="F105" s="14">
        <v>0.25</v>
      </c>
      <c r="G105" s="15">
        <f>Parametros!$B$4</f>
        <v>28681</v>
      </c>
      <c r="H105" s="14">
        <f>INDEX(Clientes!$E$4:$E$15,MATCH(B105,Clientes!$A$4:$A$15,0))</f>
        <v>1</v>
      </c>
      <c r="I105" s="15">
        <f t="shared" si="1"/>
        <v>7170</v>
      </c>
    </row>
    <row r="106" spans="1:9" x14ac:dyDescent="0.3">
      <c r="A106" s="13">
        <v>45323</v>
      </c>
      <c r="B106" t="s">
        <v>36</v>
      </c>
      <c r="C106" t="s">
        <v>72</v>
      </c>
      <c r="D106" t="str">
        <f>INDEX(Clientes!$B$4:$B$15,MATCH(B106,Clientes!$A$4:$A$15,0))</f>
        <v>Agroservicios Cartago</v>
      </c>
      <c r="E106" t="str">
        <f>INDEX(Catalogo_Servicios!$C$4:$C$24,MATCH(C106,Catalogo_Servicios!$A$4:$A$24,0))</f>
        <v>Declaración informativa anual (D-151)</v>
      </c>
      <c r="F106" s="14">
        <v>0.5</v>
      </c>
      <c r="G106" s="15">
        <f>Parametros!$B$4</f>
        <v>28681</v>
      </c>
      <c r="H106" s="14">
        <f>INDEX(Clientes!$E$4:$E$15,MATCH(B106,Clientes!$A$4:$A$15,0))</f>
        <v>1</v>
      </c>
      <c r="I106" s="15">
        <f t="shared" si="1"/>
        <v>14341</v>
      </c>
    </row>
    <row r="107" spans="1:9" x14ac:dyDescent="0.3">
      <c r="A107" s="13">
        <v>45323</v>
      </c>
      <c r="B107" t="s">
        <v>38</v>
      </c>
      <c r="C107" t="s">
        <v>65</v>
      </c>
      <c r="D107" t="str">
        <f>INDEX(Clientes!$B$4:$B$15,MATCH(B107,Clientes!$A$4:$A$15,0))</f>
        <v>Panadería La Espiga</v>
      </c>
      <c r="E107" t="str">
        <f>INDEX(Catalogo_Servicios!$C$4:$C$24,MATCH(C107,Catalogo_Servicios!$A$4:$A$24,0))</f>
        <v>Declaración mensual de IVA (D-104)</v>
      </c>
      <c r="F107" s="14">
        <v>0.75</v>
      </c>
      <c r="G107" s="15">
        <f>Parametros!$B$4</f>
        <v>28681</v>
      </c>
      <c r="H107" s="14">
        <f>INDEX(Clientes!$E$4:$E$15,MATCH(B107,Clientes!$A$4:$A$15,0))</f>
        <v>1</v>
      </c>
      <c r="I107" s="15">
        <f t="shared" si="1"/>
        <v>21511</v>
      </c>
    </row>
    <row r="108" spans="1:9" x14ac:dyDescent="0.3">
      <c r="A108" s="13">
        <v>45323</v>
      </c>
      <c r="B108" t="s">
        <v>38</v>
      </c>
      <c r="C108" t="s">
        <v>67</v>
      </c>
      <c r="D108" t="str">
        <f>INDEX(Clientes!$B$4:$B$15,MATCH(B108,Clientes!$A$4:$A$15,0))</f>
        <v>Panadería La Espiga</v>
      </c>
      <c r="E108" t="str">
        <f>INDEX(Catalogo_Servicios!$C$4:$C$24,MATCH(C108,Catalogo_Servicios!$A$4:$A$24,0))</f>
        <v>Cálculo de planillas y cargas sociales (CCSS/INS)</v>
      </c>
      <c r="F108" s="14">
        <v>7</v>
      </c>
      <c r="G108" s="15">
        <f>Parametros!$B$4</f>
        <v>28681</v>
      </c>
      <c r="H108" s="14">
        <f>INDEX(Clientes!$E$4:$E$15,MATCH(B108,Clientes!$A$4:$A$15,0))</f>
        <v>1</v>
      </c>
      <c r="I108" s="15">
        <f t="shared" si="1"/>
        <v>200767</v>
      </c>
    </row>
    <row r="109" spans="1:9" x14ac:dyDescent="0.3">
      <c r="A109" s="13">
        <v>45323</v>
      </c>
      <c r="B109" t="s">
        <v>38</v>
      </c>
      <c r="C109" t="s">
        <v>72</v>
      </c>
      <c r="D109" t="str">
        <f>INDEX(Clientes!$B$4:$B$15,MATCH(B109,Clientes!$A$4:$A$15,0))</f>
        <v>Panadería La Espiga</v>
      </c>
      <c r="E109" t="str">
        <f>INDEX(Catalogo_Servicios!$C$4:$C$24,MATCH(C109,Catalogo_Servicios!$A$4:$A$24,0))</f>
        <v>Declaración informativa anual (D-151)</v>
      </c>
      <c r="F109" s="14">
        <v>0.5</v>
      </c>
      <c r="G109" s="15">
        <f>Parametros!$B$4</f>
        <v>28681</v>
      </c>
      <c r="H109" s="14">
        <f>INDEX(Clientes!$E$4:$E$15,MATCH(B109,Clientes!$A$4:$A$15,0))</f>
        <v>1</v>
      </c>
      <c r="I109" s="15">
        <f t="shared" si="1"/>
        <v>14341</v>
      </c>
    </row>
    <row r="110" spans="1:9" x14ac:dyDescent="0.3">
      <c r="A110" s="13">
        <v>45323</v>
      </c>
      <c r="B110" t="s">
        <v>39</v>
      </c>
      <c r="C110" t="s">
        <v>68</v>
      </c>
      <c r="D110" t="str">
        <f>INDEX(Clientes!$B$4:$B$15,MATCH(B110,Clientes!$A$4:$A$15,0))</f>
        <v>Consultores TIC Pura Vida</v>
      </c>
      <c r="E110" t="str">
        <f>INDEX(Catalogo_Servicios!$C$4:$C$24,MATCH(C110,Catalogo_Servicios!$A$4:$A$24,0))</f>
        <v>Asesoría contable, financiera y tributaria</v>
      </c>
      <c r="F110" s="14">
        <v>1</v>
      </c>
      <c r="G110" s="15">
        <f>Parametros!$B$4</f>
        <v>28681</v>
      </c>
      <c r="H110" s="14">
        <f>INDEX(Clientes!$E$4:$E$15,MATCH(B110,Clientes!$A$4:$A$15,0))</f>
        <v>1</v>
      </c>
      <c r="I110" s="15">
        <f t="shared" si="1"/>
        <v>28681</v>
      </c>
    </row>
    <row r="111" spans="1:9" x14ac:dyDescent="0.3">
      <c r="A111" s="13">
        <v>45352</v>
      </c>
      <c r="B111" t="s">
        <v>29</v>
      </c>
      <c r="C111" t="s">
        <v>64</v>
      </c>
      <c r="D111" t="str">
        <f>INDEX(Clientes!$B$4:$B$15,MATCH(B111,Clientes!$A$4:$A$15,0))</f>
        <v>Distribuidora Los Andes S.A.</v>
      </c>
      <c r="E111" t="str">
        <f>INDEX(Catalogo_Servicios!$C$4:$C$24,MATCH(C111,Catalogo_Servicios!$A$4:$A$24,0))</f>
        <v>Estados financieros mensuales</v>
      </c>
      <c r="F111" s="14">
        <v>3</v>
      </c>
      <c r="G111" s="15">
        <f>Parametros!$B$4</f>
        <v>28681</v>
      </c>
      <c r="H111" s="14">
        <f>INDEX(Clientes!$E$4:$E$15,MATCH(B111,Clientes!$A$4:$A$15,0))</f>
        <v>1</v>
      </c>
      <c r="I111" s="15">
        <f t="shared" si="1"/>
        <v>86043</v>
      </c>
    </row>
    <row r="112" spans="1:9" x14ac:dyDescent="0.3">
      <c r="A112" s="13">
        <v>45352</v>
      </c>
      <c r="B112" t="s">
        <v>29</v>
      </c>
      <c r="C112" t="s">
        <v>65</v>
      </c>
      <c r="D112" t="str">
        <f>INDEX(Clientes!$B$4:$B$15,MATCH(B112,Clientes!$A$4:$A$15,0))</f>
        <v>Distribuidora Los Andes S.A.</v>
      </c>
      <c r="E112" t="str">
        <f>INDEX(Catalogo_Servicios!$C$4:$C$24,MATCH(C112,Catalogo_Servicios!$A$4:$A$24,0))</f>
        <v>Declaración mensual de IVA (D-104)</v>
      </c>
      <c r="F112" s="14">
        <v>0.75</v>
      </c>
      <c r="G112" s="15">
        <f>Parametros!$B$4</f>
        <v>28681</v>
      </c>
      <c r="H112" s="14">
        <f>INDEX(Clientes!$E$4:$E$15,MATCH(B112,Clientes!$A$4:$A$15,0))</f>
        <v>1</v>
      </c>
      <c r="I112" s="15">
        <f t="shared" si="1"/>
        <v>21511</v>
      </c>
    </row>
    <row r="113" spans="1:9" x14ac:dyDescent="0.3">
      <c r="A113" s="13">
        <v>45352</v>
      </c>
      <c r="B113" t="s">
        <v>29</v>
      </c>
      <c r="C113" t="s">
        <v>66</v>
      </c>
      <c r="D113" t="str">
        <f>INDEX(Clientes!$B$4:$B$15,MATCH(B113,Clientes!$A$4:$A$15,0))</f>
        <v>Distribuidora Los Andes S.A.</v>
      </c>
      <c r="E113" t="str">
        <f>INDEX(Catalogo_Servicios!$C$4:$C$24,MATCH(C113,Catalogo_Servicios!$A$4:$A$24,0))</f>
        <v>Declaración mensual de retenciones (D-103)</v>
      </c>
      <c r="F113" s="14">
        <v>0.25</v>
      </c>
      <c r="G113" s="15">
        <f>Parametros!$B$4</f>
        <v>28681</v>
      </c>
      <c r="H113" s="14">
        <f>INDEX(Clientes!$E$4:$E$15,MATCH(B113,Clientes!$A$4:$A$15,0))</f>
        <v>1</v>
      </c>
      <c r="I113" s="15">
        <f t="shared" si="1"/>
        <v>7170</v>
      </c>
    </row>
    <row r="114" spans="1:9" x14ac:dyDescent="0.3">
      <c r="A114" s="13">
        <v>45352</v>
      </c>
      <c r="B114" t="s">
        <v>29</v>
      </c>
      <c r="C114" t="s">
        <v>67</v>
      </c>
      <c r="D114" t="str">
        <f>INDEX(Clientes!$B$4:$B$15,MATCH(B114,Clientes!$A$4:$A$15,0))</f>
        <v>Distribuidora Los Andes S.A.</v>
      </c>
      <c r="E114" t="str">
        <f>INDEX(Catalogo_Servicios!$C$4:$C$24,MATCH(C114,Catalogo_Servicios!$A$4:$A$24,0))</f>
        <v>Cálculo de planillas y cargas sociales (CCSS/INS)</v>
      </c>
      <c r="F114" s="14">
        <v>21</v>
      </c>
      <c r="G114" s="15">
        <f>Parametros!$B$4</f>
        <v>28681</v>
      </c>
      <c r="H114" s="14">
        <f>INDEX(Clientes!$E$4:$E$15,MATCH(B114,Clientes!$A$4:$A$15,0))</f>
        <v>1</v>
      </c>
      <c r="I114" s="15">
        <f t="shared" si="1"/>
        <v>602301</v>
      </c>
    </row>
    <row r="115" spans="1:9" x14ac:dyDescent="0.3">
      <c r="A115" s="13">
        <v>45352</v>
      </c>
      <c r="B115" t="s">
        <v>30</v>
      </c>
      <c r="C115" t="s">
        <v>64</v>
      </c>
      <c r="D115" t="str">
        <f>INDEX(Clientes!$B$4:$B$15,MATCH(B115,Clientes!$A$4:$A$15,0))</f>
        <v>Ferretería El Tornillo</v>
      </c>
      <c r="E115" t="str">
        <f>INDEX(Catalogo_Servicios!$C$4:$C$24,MATCH(C115,Catalogo_Servicios!$A$4:$A$24,0))</f>
        <v>Estados financieros mensuales</v>
      </c>
      <c r="F115" s="14">
        <v>3.25</v>
      </c>
      <c r="G115" s="15">
        <f>Parametros!$B$4</f>
        <v>28681</v>
      </c>
      <c r="H115" s="14">
        <f>INDEX(Clientes!$E$4:$E$15,MATCH(B115,Clientes!$A$4:$A$15,0))</f>
        <v>1</v>
      </c>
      <c r="I115" s="15">
        <f t="shared" si="1"/>
        <v>93213</v>
      </c>
    </row>
    <row r="116" spans="1:9" x14ac:dyDescent="0.3">
      <c r="A116" s="13">
        <v>45352</v>
      </c>
      <c r="B116" t="s">
        <v>30</v>
      </c>
      <c r="C116" t="s">
        <v>65</v>
      </c>
      <c r="D116" t="str">
        <f>INDEX(Clientes!$B$4:$B$15,MATCH(B116,Clientes!$A$4:$A$15,0))</f>
        <v>Ferretería El Tornillo</v>
      </c>
      <c r="E116" t="str">
        <f>INDEX(Catalogo_Servicios!$C$4:$C$24,MATCH(C116,Catalogo_Servicios!$A$4:$A$24,0))</f>
        <v>Declaración mensual de IVA (D-104)</v>
      </c>
      <c r="F116" s="14">
        <v>0.75</v>
      </c>
      <c r="G116" s="15">
        <f>Parametros!$B$4</f>
        <v>28681</v>
      </c>
      <c r="H116" s="14">
        <f>INDEX(Clientes!$E$4:$E$15,MATCH(B116,Clientes!$A$4:$A$15,0))</f>
        <v>1</v>
      </c>
      <c r="I116" s="15">
        <f t="shared" si="1"/>
        <v>21511</v>
      </c>
    </row>
    <row r="117" spans="1:9" x14ac:dyDescent="0.3">
      <c r="A117" s="13">
        <v>45352</v>
      </c>
      <c r="B117" t="s">
        <v>30</v>
      </c>
      <c r="C117" t="s">
        <v>66</v>
      </c>
      <c r="D117" t="str">
        <f>INDEX(Clientes!$B$4:$B$15,MATCH(B117,Clientes!$A$4:$A$15,0))</f>
        <v>Ferretería El Tornillo</v>
      </c>
      <c r="E117" t="str">
        <f>INDEX(Catalogo_Servicios!$C$4:$C$24,MATCH(C117,Catalogo_Servicios!$A$4:$A$24,0))</f>
        <v>Declaración mensual de retenciones (D-103)</v>
      </c>
      <c r="F117" s="14">
        <v>0.25</v>
      </c>
      <c r="G117" s="15">
        <f>Parametros!$B$4</f>
        <v>28681</v>
      </c>
      <c r="H117" s="14">
        <f>INDEX(Clientes!$E$4:$E$15,MATCH(B117,Clientes!$A$4:$A$15,0))</f>
        <v>1</v>
      </c>
      <c r="I117" s="15">
        <f t="shared" si="1"/>
        <v>7170</v>
      </c>
    </row>
    <row r="118" spans="1:9" x14ac:dyDescent="0.3">
      <c r="A118" s="13">
        <v>45352</v>
      </c>
      <c r="B118" t="s">
        <v>30</v>
      </c>
      <c r="C118" t="s">
        <v>69</v>
      </c>
      <c r="D118" t="str">
        <f>INDEX(Clientes!$B$4:$B$15,MATCH(B118,Clientes!$A$4:$A$15,0))</f>
        <v>Ferretería El Tornillo</v>
      </c>
      <c r="E118" t="str">
        <f>INDEX(Catalogo_Servicios!$C$4:$C$24,MATCH(C118,Catalogo_Servicios!$A$4:$A$24,0))</f>
        <v>Declaración anual de renta (D-101 / D-105)</v>
      </c>
      <c r="F118" s="14">
        <v>1.5</v>
      </c>
      <c r="G118" s="15">
        <f>Parametros!$B$4</f>
        <v>28681</v>
      </c>
      <c r="H118" s="14">
        <f>INDEX(Clientes!$E$4:$E$15,MATCH(B118,Clientes!$A$4:$A$15,0))</f>
        <v>1</v>
      </c>
      <c r="I118" s="15">
        <f t="shared" si="1"/>
        <v>43022</v>
      </c>
    </row>
    <row r="119" spans="1:9" x14ac:dyDescent="0.3">
      <c r="A119" s="13">
        <v>45352</v>
      </c>
      <c r="B119" t="s">
        <v>30</v>
      </c>
      <c r="C119" t="s">
        <v>70</v>
      </c>
      <c r="D119" t="str">
        <f>INDEX(Clientes!$B$4:$B$15,MATCH(B119,Clientes!$A$4:$A$15,0))</f>
        <v>Ferretería El Tornillo</v>
      </c>
      <c r="E119" t="str">
        <f>INDEX(Catalogo_Servicios!$C$4:$C$24,MATCH(C119,Catalogo_Servicios!$A$4:$A$24,0))</f>
        <v>Estados financieros anuales / cierre fiscal</v>
      </c>
      <c r="F119" s="14">
        <v>6</v>
      </c>
      <c r="G119" s="15">
        <f>Parametros!$B$4</f>
        <v>28681</v>
      </c>
      <c r="H119" s="14">
        <f>INDEX(Clientes!$E$4:$E$15,MATCH(B119,Clientes!$A$4:$A$15,0))</f>
        <v>1</v>
      </c>
      <c r="I119" s="15">
        <f t="shared" si="1"/>
        <v>172086</v>
      </c>
    </row>
    <row r="120" spans="1:9" x14ac:dyDescent="0.3">
      <c r="A120" s="13">
        <v>45352</v>
      </c>
      <c r="B120" t="s">
        <v>31</v>
      </c>
      <c r="C120" t="s">
        <v>65</v>
      </c>
      <c r="D120" t="str">
        <f>INDEX(Clientes!$B$4:$B$15,MATCH(B120,Clientes!$A$4:$A$15,0))</f>
        <v>Clínica Dental Sonrisa</v>
      </c>
      <c r="E120" t="str">
        <f>INDEX(Catalogo_Servicios!$C$4:$C$24,MATCH(C120,Catalogo_Servicios!$A$4:$A$24,0))</f>
        <v>Declaración mensual de IVA (D-104)</v>
      </c>
      <c r="F120" s="14">
        <v>0.75</v>
      </c>
      <c r="G120" s="15">
        <f>Parametros!$B$4</f>
        <v>28681</v>
      </c>
      <c r="H120" s="14">
        <f>INDEX(Clientes!$E$4:$E$15,MATCH(B120,Clientes!$A$4:$A$15,0))</f>
        <v>1.1000000000000001</v>
      </c>
      <c r="I120" s="15">
        <f t="shared" si="1"/>
        <v>23662</v>
      </c>
    </row>
    <row r="121" spans="1:9" x14ac:dyDescent="0.3">
      <c r="A121" s="13">
        <v>45352</v>
      </c>
      <c r="B121" t="s">
        <v>32</v>
      </c>
      <c r="C121" t="s">
        <v>65</v>
      </c>
      <c r="D121" t="str">
        <f>INDEX(Clientes!$B$4:$B$15,MATCH(B121,Clientes!$A$4:$A$15,0))</f>
        <v>Soda y Restaurante Doña Lela</v>
      </c>
      <c r="E121" t="str">
        <f>INDEX(Catalogo_Servicios!$C$4:$C$24,MATCH(C121,Catalogo_Servicios!$A$4:$A$24,0))</f>
        <v>Declaración mensual de IVA (D-104)</v>
      </c>
      <c r="F121" s="14">
        <v>0.75</v>
      </c>
      <c r="G121" s="15">
        <f>Parametros!$B$4</f>
        <v>28681</v>
      </c>
      <c r="H121" s="14">
        <f>INDEX(Clientes!$E$4:$E$15,MATCH(B121,Clientes!$A$4:$A$15,0))</f>
        <v>1</v>
      </c>
      <c r="I121" s="15">
        <f t="shared" si="1"/>
        <v>21511</v>
      </c>
    </row>
    <row r="122" spans="1:9" x14ac:dyDescent="0.3">
      <c r="A122" s="13">
        <v>45352</v>
      </c>
      <c r="B122" t="s">
        <v>33</v>
      </c>
      <c r="C122" t="s">
        <v>65</v>
      </c>
      <c r="D122" t="str">
        <f>INDEX(Clientes!$B$4:$B$15,MATCH(B122,Clientes!$A$4:$A$15,0))</f>
        <v>Transportes Rápidos del Valle</v>
      </c>
      <c r="E122" t="str">
        <f>INDEX(Catalogo_Servicios!$C$4:$C$24,MATCH(C122,Catalogo_Servicios!$A$4:$A$24,0))</f>
        <v>Declaración mensual de IVA (D-104)</v>
      </c>
      <c r="F122" s="14">
        <v>0.75</v>
      </c>
      <c r="G122" s="15">
        <f>Parametros!$B$4</f>
        <v>28681</v>
      </c>
      <c r="H122" s="14">
        <f>INDEX(Clientes!$E$4:$E$15,MATCH(B122,Clientes!$A$4:$A$15,0))</f>
        <v>1</v>
      </c>
      <c r="I122" s="15">
        <f t="shared" si="1"/>
        <v>21511</v>
      </c>
    </row>
    <row r="123" spans="1:9" x14ac:dyDescent="0.3">
      <c r="A123" s="13">
        <v>45352</v>
      </c>
      <c r="B123" t="s">
        <v>33</v>
      </c>
      <c r="C123" t="s">
        <v>66</v>
      </c>
      <c r="D123" t="str">
        <f>INDEX(Clientes!$B$4:$B$15,MATCH(B123,Clientes!$A$4:$A$15,0))</f>
        <v>Transportes Rápidos del Valle</v>
      </c>
      <c r="E123" t="str">
        <f>INDEX(Catalogo_Servicios!$C$4:$C$24,MATCH(C123,Catalogo_Servicios!$A$4:$A$24,0))</f>
        <v>Declaración mensual de retenciones (D-103)</v>
      </c>
      <c r="F123" s="14">
        <v>0.25</v>
      </c>
      <c r="G123" s="15">
        <f>Parametros!$B$4</f>
        <v>28681</v>
      </c>
      <c r="H123" s="14">
        <f>INDEX(Clientes!$E$4:$E$15,MATCH(B123,Clientes!$A$4:$A$15,0))</f>
        <v>1</v>
      </c>
      <c r="I123" s="15">
        <f t="shared" si="1"/>
        <v>7170</v>
      </c>
    </row>
    <row r="124" spans="1:9" x14ac:dyDescent="0.3">
      <c r="A124" s="13">
        <v>45352</v>
      </c>
      <c r="B124" t="s">
        <v>33</v>
      </c>
      <c r="C124" t="s">
        <v>67</v>
      </c>
      <c r="D124" t="str">
        <f>INDEX(Clientes!$B$4:$B$15,MATCH(B124,Clientes!$A$4:$A$15,0))</f>
        <v>Transportes Rápidos del Valle</v>
      </c>
      <c r="E124" t="str">
        <f>INDEX(Catalogo_Servicios!$C$4:$C$24,MATCH(C124,Catalogo_Servicios!$A$4:$A$24,0))</f>
        <v>Cálculo de planillas y cargas sociales (CCSS/INS)</v>
      </c>
      <c r="F124" s="14">
        <v>5</v>
      </c>
      <c r="G124" s="15">
        <f>Parametros!$B$4</f>
        <v>28681</v>
      </c>
      <c r="H124" s="14">
        <f>INDEX(Clientes!$E$4:$E$15,MATCH(B124,Clientes!$A$4:$A$15,0))</f>
        <v>1</v>
      </c>
      <c r="I124" s="15">
        <f t="shared" si="1"/>
        <v>143405</v>
      </c>
    </row>
    <row r="125" spans="1:9" x14ac:dyDescent="0.3">
      <c r="A125" s="13">
        <v>45352</v>
      </c>
      <c r="B125" t="s">
        <v>34</v>
      </c>
      <c r="C125" t="s">
        <v>69</v>
      </c>
      <c r="D125" t="str">
        <f>INDEX(Clientes!$B$4:$B$15,MATCH(B125,Clientes!$A$4:$A$15,0))</f>
        <v>Boutique Luna Nueva</v>
      </c>
      <c r="E125" t="str">
        <f>INDEX(Catalogo_Servicios!$C$4:$C$24,MATCH(C125,Catalogo_Servicios!$A$4:$A$24,0))</f>
        <v>Declaración anual de renta (D-101 / D-105)</v>
      </c>
      <c r="F125" s="14">
        <v>1.5</v>
      </c>
      <c r="G125" s="15">
        <f>Parametros!$B$4</f>
        <v>28681</v>
      </c>
      <c r="H125" s="14">
        <f>INDEX(Clientes!$E$4:$E$15,MATCH(B125,Clientes!$A$4:$A$15,0))</f>
        <v>1.1499999999999999</v>
      </c>
      <c r="I125" s="15">
        <f t="shared" si="1"/>
        <v>49475</v>
      </c>
    </row>
    <row r="126" spans="1:9" x14ac:dyDescent="0.3">
      <c r="A126" s="13">
        <v>45352</v>
      </c>
      <c r="B126" t="s">
        <v>35</v>
      </c>
      <c r="C126" t="s">
        <v>65</v>
      </c>
      <c r="D126" t="str">
        <f>INDEX(Clientes!$B$4:$B$15,MATCH(B126,Clientes!$A$4:$A$15,0))</f>
        <v>Taller Mecánico Hermanos Mora</v>
      </c>
      <c r="E126" t="str">
        <f>INDEX(Catalogo_Servicios!$C$4:$C$24,MATCH(C126,Catalogo_Servicios!$A$4:$A$24,0))</f>
        <v>Declaración mensual de IVA (D-104)</v>
      </c>
      <c r="F126" s="14">
        <v>0.75</v>
      </c>
      <c r="G126" s="15">
        <f>Parametros!$B$4</f>
        <v>28681</v>
      </c>
      <c r="H126" s="14">
        <f>INDEX(Clientes!$E$4:$E$15,MATCH(B126,Clientes!$A$4:$A$15,0))</f>
        <v>1</v>
      </c>
      <c r="I126" s="15">
        <f t="shared" si="1"/>
        <v>21511</v>
      </c>
    </row>
    <row r="127" spans="1:9" x14ac:dyDescent="0.3">
      <c r="A127" s="13">
        <v>45352</v>
      </c>
      <c r="B127" t="s">
        <v>35</v>
      </c>
      <c r="C127" t="s">
        <v>69</v>
      </c>
      <c r="D127" t="str">
        <f>INDEX(Clientes!$B$4:$B$15,MATCH(B127,Clientes!$A$4:$A$15,0))</f>
        <v>Taller Mecánico Hermanos Mora</v>
      </c>
      <c r="E127" t="str">
        <f>INDEX(Catalogo_Servicios!$C$4:$C$24,MATCH(C127,Catalogo_Servicios!$A$4:$A$24,0))</f>
        <v>Declaración anual de renta (D-101 / D-105)</v>
      </c>
      <c r="F127" s="14">
        <v>1.5</v>
      </c>
      <c r="G127" s="15">
        <f>Parametros!$B$4</f>
        <v>28681</v>
      </c>
      <c r="H127" s="14">
        <f>INDEX(Clientes!$E$4:$E$15,MATCH(B127,Clientes!$A$4:$A$15,0))</f>
        <v>1</v>
      </c>
      <c r="I127" s="15">
        <f t="shared" si="1"/>
        <v>43022</v>
      </c>
    </row>
    <row r="128" spans="1:9" x14ac:dyDescent="0.3">
      <c r="A128" s="13">
        <v>45352</v>
      </c>
      <c r="B128" t="s">
        <v>36</v>
      </c>
      <c r="C128" t="s">
        <v>65</v>
      </c>
      <c r="D128" t="str">
        <f>INDEX(Clientes!$B$4:$B$15,MATCH(B128,Clientes!$A$4:$A$15,0))</f>
        <v>Agroservicios Cartago</v>
      </c>
      <c r="E128" t="str">
        <f>INDEX(Catalogo_Servicios!$C$4:$C$24,MATCH(C128,Catalogo_Servicios!$A$4:$A$24,0))</f>
        <v>Declaración mensual de IVA (D-104)</v>
      </c>
      <c r="F128" s="14">
        <v>0.75</v>
      </c>
      <c r="G128" s="15">
        <f>Parametros!$B$4</f>
        <v>28681</v>
      </c>
      <c r="H128" s="14">
        <f>INDEX(Clientes!$E$4:$E$15,MATCH(B128,Clientes!$A$4:$A$15,0))</f>
        <v>1</v>
      </c>
      <c r="I128" s="15">
        <f t="shared" si="1"/>
        <v>21511</v>
      </c>
    </row>
    <row r="129" spans="1:9" x14ac:dyDescent="0.3">
      <c r="A129" s="13">
        <v>45352</v>
      </c>
      <c r="B129" t="s">
        <v>36</v>
      </c>
      <c r="C129" t="s">
        <v>66</v>
      </c>
      <c r="D129" t="str">
        <f>INDEX(Clientes!$B$4:$B$15,MATCH(B129,Clientes!$A$4:$A$15,0))</f>
        <v>Agroservicios Cartago</v>
      </c>
      <c r="E129" t="str">
        <f>INDEX(Catalogo_Servicios!$C$4:$C$24,MATCH(C129,Catalogo_Servicios!$A$4:$A$24,0))</f>
        <v>Declaración mensual de retenciones (D-103)</v>
      </c>
      <c r="F129" s="14">
        <v>0.25</v>
      </c>
      <c r="G129" s="15">
        <f>Parametros!$B$4</f>
        <v>28681</v>
      </c>
      <c r="H129" s="14">
        <f>INDEX(Clientes!$E$4:$E$15,MATCH(B129,Clientes!$A$4:$A$15,0))</f>
        <v>1</v>
      </c>
      <c r="I129" s="15">
        <f t="shared" si="1"/>
        <v>7170</v>
      </c>
    </row>
    <row r="130" spans="1:9" x14ac:dyDescent="0.3">
      <c r="A130" s="13">
        <v>45352</v>
      </c>
      <c r="B130" t="s">
        <v>36</v>
      </c>
      <c r="C130" t="s">
        <v>69</v>
      </c>
      <c r="D130" t="str">
        <f>INDEX(Clientes!$B$4:$B$15,MATCH(B130,Clientes!$A$4:$A$15,0))</f>
        <v>Agroservicios Cartago</v>
      </c>
      <c r="E130" t="str">
        <f>INDEX(Catalogo_Servicios!$C$4:$C$24,MATCH(C130,Catalogo_Servicios!$A$4:$A$24,0))</f>
        <v>Declaración anual de renta (D-101 / D-105)</v>
      </c>
      <c r="F130" s="14">
        <v>1.75</v>
      </c>
      <c r="G130" s="15">
        <f>Parametros!$B$4</f>
        <v>28681</v>
      </c>
      <c r="H130" s="14">
        <f>INDEX(Clientes!$E$4:$E$15,MATCH(B130,Clientes!$A$4:$A$15,0))</f>
        <v>1</v>
      </c>
      <c r="I130" s="15">
        <f t="shared" si="1"/>
        <v>50192</v>
      </c>
    </row>
    <row r="131" spans="1:9" x14ac:dyDescent="0.3">
      <c r="A131" s="13">
        <v>45352</v>
      </c>
      <c r="B131" t="s">
        <v>37</v>
      </c>
      <c r="C131" t="s">
        <v>68</v>
      </c>
      <c r="D131" t="str">
        <f>INDEX(Clientes!$B$4:$B$15,MATCH(B131,Clientes!$A$4:$A$15,0))</f>
        <v>Estudio Fotográfico Lumière</v>
      </c>
      <c r="E131" t="str">
        <f>INDEX(Catalogo_Servicios!$C$4:$C$24,MATCH(C131,Catalogo_Servicios!$A$4:$A$24,0))</f>
        <v>Asesoría contable, financiera y tributaria</v>
      </c>
      <c r="F131" s="14">
        <v>2</v>
      </c>
      <c r="G131" s="15">
        <f>Parametros!$B$4</f>
        <v>28681</v>
      </c>
      <c r="H131" s="14">
        <f>INDEX(Clientes!$E$4:$E$15,MATCH(B131,Clientes!$A$4:$A$15,0))</f>
        <v>1.1000000000000001</v>
      </c>
      <c r="I131" s="15">
        <f t="shared" si="1"/>
        <v>63098</v>
      </c>
    </row>
    <row r="132" spans="1:9" x14ac:dyDescent="0.3">
      <c r="A132" s="13">
        <v>45352</v>
      </c>
      <c r="B132" t="s">
        <v>37</v>
      </c>
      <c r="C132" t="s">
        <v>69</v>
      </c>
      <c r="D132" t="str">
        <f>INDEX(Clientes!$B$4:$B$15,MATCH(B132,Clientes!$A$4:$A$15,0))</f>
        <v>Estudio Fotográfico Lumière</v>
      </c>
      <c r="E132" t="str">
        <f>INDEX(Catalogo_Servicios!$C$4:$C$24,MATCH(C132,Catalogo_Servicios!$A$4:$A$24,0))</f>
        <v>Declaración anual de renta (D-101 / D-105)</v>
      </c>
      <c r="F132" s="14">
        <v>1.5</v>
      </c>
      <c r="G132" s="15">
        <f>Parametros!$B$4</f>
        <v>28681</v>
      </c>
      <c r="H132" s="14">
        <f>INDEX(Clientes!$E$4:$E$15,MATCH(B132,Clientes!$A$4:$A$15,0))</f>
        <v>1.1000000000000001</v>
      </c>
      <c r="I132" s="15">
        <f t="shared" ref="I132:I195" si="2">ROUND(F132*G132*H132,0)</f>
        <v>47324</v>
      </c>
    </row>
    <row r="133" spans="1:9" x14ac:dyDescent="0.3">
      <c r="A133" s="13">
        <v>45352</v>
      </c>
      <c r="B133" t="s">
        <v>38</v>
      </c>
      <c r="C133" t="s">
        <v>65</v>
      </c>
      <c r="D133" t="str">
        <f>INDEX(Clientes!$B$4:$B$15,MATCH(B133,Clientes!$A$4:$A$15,0))</f>
        <v>Panadería La Espiga</v>
      </c>
      <c r="E133" t="str">
        <f>INDEX(Catalogo_Servicios!$C$4:$C$24,MATCH(C133,Catalogo_Servicios!$A$4:$A$24,0))</f>
        <v>Declaración mensual de IVA (D-104)</v>
      </c>
      <c r="F133" s="14">
        <v>0.75</v>
      </c>
      <c r="G133" s="15">
        <f>Parametros!$B$4</f>
        <v>28681</v>
      </c>
      <c r="H133" s="14">
        <f>INDEX(Clientes!$E$4:$E$15,MATCH(B133,Clientes!$A$4:$A$15,0))</f>
        <v>1</v>
      </c>
      <c r="I133" s="15">
        <f t="shared" si="2"/>
        <v>21511</v>
      </c>
    </row>
    <row r="134" spans="1:9" x14ac:dyDescent="0.3">
      <c r="A134" s="13">
        <v>45352</v>
      </c>
      <c r="B134" t="s">
        <v>38</v>
      </c>
      <c r="C134" t="s">
        <v>67</v>
      </c>
      <c r="D134" t="str">
        <f>INDEX(Clientes!$B$4:$B$15,MATCH(B134,Clientes!$A$4:$A$15,0))</f>
        <v>Panadería La Espiga</v>
      </c>
      <c r="E134" t="str">
        <f>INDEX(Catalogo_Servicios!$C$4:$C$24,MATCH(C134,Catalogo_Servicios!$A$4:$A$24,0))</f>
        <v>Cálculo de planillas y cargas sociales (CCSS/INS)</v>
      </c>
      <c r="F134" s="14">
        <v>6.5</v>
      </c>
      <c r="G134" s="15">
        <f>Parametros!$B$4</f>
        <v>28681</v>
      </c>
      <c r="H134" s="14">
        <f>INDEX(Clientes!$E$4:$E$15,MATCH(B134,Clientes!$A$4:$A$15,0))</f>
        <v>1</v>
      </c>
      <c r="I134" s="15">
        <f t="shared" si="2"/>
        <v>186427</v>
      </c>
    </row>
    <row r="135" spans="1:9" x14ac:dyDescent="0.3">
      <c r="A135" s="13">
        <v>45352</v>
      </c>
      <c r="B135" t="s">
        <v>39</v>
      </c>
      <c r="C135" t="s">
        <v>69</v>
      </c>
      <c r="D135" t="str">
        <f>INDEX(Clientes!$B$4:$B$15,MATCH(B135,Clientes!$A$4:$A$15,0))</f>
        <v>Consultores TIC Pura Vida</v>
      </c>
      <c r="E135" t="str">
        <f>INDEX(Catalogo_Servicios!$C$4:$C$24,MATCH(C135,Catalogo_Servicios!$A$4:$A$24,0))</f>
        <v>Declaración anual de renta (D-101 / D-105)</v>
      </c>
      <c r="F135" s="14">
        <v>1.5</v>
      </c>
      <c r="G135" s="15">
        <f>Parametros!$B$4</f>
        <v>28681</v>
      </c>
      <c r="H135" s="14">
        <f>INDEX(Clientes!$E$4:$E$15,MATCH(B135,Clientes!$A$4:$A$15,0))</f>
        <v>1</v>
      </c>
      <c r="I135" s="15">
        <f t="shared" si="2"/>
        <v>43022</v>
      </c>
    </row>
    <row r="136" spans="1:9" x14ac:dyDescent="0.3">
      <c r="A136" s="13">
        <v>45383</v>
      </c>
      <c r="B136" t="s">
        <v>29</v>
      </c>
      <c r="C136" t="s">
        <v>64</v>
      </c>
      <c r="D136" t="str">
        <f>INDEX(Clientes!$B$4:$B$15,MATCH(B136,Clientes!$A$4:$A$15,0))</f>
        <v>Distribuidora Los Andes S.A.</v>
      </c>
      <c r="E136" t="str">
        <f>INDEX(Catalogo_Servicios!$C$4:$C$24,MATCH(C136,Catalogo_Servicios!$A$4:$A$24,0))</f>
        <v>Estados financieros mensuales</v>
      </c>
      <c r="F136" s="14">
        <v>3</v>
      </c>
      <c r="G136" s="15">
        <f>Parametros!$B$4</f>
        <v>28681</v>
      </c>
      <c r="H136" s="14">
        <f>INDEX(Clientes!$E$4:$E$15,MATCH(B136,Clientes!$A$4:$A$15,0))</f>
        <v>1</v>
      </c>
      <c r="I136" s="15">
        <f t="shared" si="2"/>
        <v>86043</v>
      </c>
    </row>
    <row r="137" spans="1:9" x14ac:dyDescent="0.3">
      <c r="A137" s="13">
        <v>45383</v>
      </c>
      <c r="B137" t="s">
        <v>29</v>
      </c>
      <c r="C137" t="s">
        <v>65</v>
      </c>
      <c r="D137" t="str">
        <f>INDEX(Clientes!$B$4:$B$15,MATCH(B137,Clientes!$A$4:$A$15,0))</f>
        <v>Distribuidora Los Andes S.A.</v>
      </c>
      <c r="E137" t="str">
        <f>INDEX(Catalogo_Servicios!$C$4:$C$24,MATCH(C137,Catalogo_Servicios!$A$4:$A$24,0))</f>
        <v>Declaración mensual de IVA (D-104)</v>
      </c>
      <c r="F137" s="14">
        <v>0.75</v>
      </c>
      <c r="G137" s="15">
        <f>Parametros!$B$4</f>
        <v>28681</v>
      </c>
      <c r="H137" s="14">
        <f>INDEX(Clientes!$E$4:$E$15,MATCH(B137,Clientes!$A$4:$A$15,0))</f>
        <v>1</v>
      </c>
      <c r="I137" s="15">
        <f t="shared" si="2"/>
        <v>21511</v>
      </c>
    </row>
    <row r="138" spans="1:9" x14ac:dyDescent="0.3">
      <c r="A138" s="13">
        <v>45383</v>
      </c>
      <c r="B138" t="s">
        <v>29</v>
      </c>
      <c r="C138" t="s">
        <v>66</v>
      </c>
      <c r="D138" t="str">
        <f>INDEX(Clientes!$B$4:$B$15,MATCH(B138,Clientes!$A$4:$A$15,0))</f>
        <v>Distribuidora Los Andes S.A.</v>
      </c>
      <c r="E138" t="str">
        <f>INDEX(Catalogo_Servicios!$C$4:$C$24,MATCH(C138,Catalogo_Servicios!$A$4:$A$24,0))</f>
        <v>Declaración mensual de retenciones (D-103)</v>
      </c>
      <c r="F138" s="14">
        <v>0.25</v>
      </c>
      <c r="G138" s="15">
        <f>Parametros!$B$4</f>
        <v>28681</v>
      </c>
      <c r="H138" s="14">
        <f>INDEX(Clientes!$E$4:$E$15,MATCH(B138,Clientes!$A$4:$A$15,0))</f>
        <v>1</v>
      </c>
      <c r="I138" s="15">
        <f t="shared" si="2"/>
        <v>7170</v>
      </c>
    </row>
    <row r="139" spans="1:9" x14ac:dyDescent="0.3">
      <c r="A139" s="13">
        <v>45383</v>
      </c>
      <c r="B139" t="s">
        <v>29</v>
      </c>
      <c r="C139" t="s">
        <v>67</v>
      </c>
      <c r="D139" t="str">
        <f>INDEX(Clientes!$B$4:$B$15,MATCH(B139,Clientes!$A$4:$A$15,0))</f>
        <v>Distribuidora Los Andes S.A.</v>
      </c>
      <c r="E139" t="str">
        <f>INDEX(Catalogo_Servicios!$C$4:$C$24,MATCH(C139,Catalogo_Servicios!$A$4:$A$24,0))</f>
        <v>Cálculo de planillas y cargas sociales (CCSS/INS)</v>
      </c>
      <c r="F139" s="14">
        <v>19.5</v>
      </c>
      <c r="G139" s="15">
        <f>Parametros!$B$4</f>
        <v>28681</v>
      </c>
      <c r="H139" s="14">
        <f>INDEX(Clientes!$E$4:$E$15,MATCH(B139,Clientes!$A$4:$A$15,0))</f>
        <v>1</v>
      </c>
      <c r="I139" s="15">
        <f t="shared" si="2"/>
        <v>559280</v>
      </c>
    </row>
    <row r="140" spans="1:9" x14ac:dyDescent="0.3">
      <c r="A140" s="13">
        <v>45383</v>
      </c>
      <c r="B140" t="s">
        <v>30</v>
      </c>
      <c r="C140" t="s">
        <v>64</v>
      </c>
      <c r="D140" t="str">
        <f>INDEX(Clientes!$B$4:$B$15,MATCH(B140,Clientes!$A$4:$A$15,0))</f>
        <v>Ferretería El Tornillo</v>
      </c>
      <c r="E140" t="str">
        <f>INDEX(Catalogo_Servicios!$C$4:$C$24,MATCH(C140,Catalogo_Servicios!$A$4:$A$24,0))</f>
        <v>Estados financieros mensuales</v>
      </c>
      <c r="F140" s="14">
        <v>3</v>
      </c>
      <c r="G140" s="15">
        <f>Parametros!$B$4</f>
        <v>28681</v>
      </c>
      <c r="H140" s="14">
        <f>INDEX(Clientes!$E$4:$E$15,MATCH(B140,Clientes!$A$4:$A$15,0))</f>
        <v>1</v>
      </c>
      <c r="I140" s="15">
        <f t="shared" si="2"/>
        <v>86043</v>
      </c>
    </row>
    <row r="141" spans="1:9" x14ac:dyDescent="0.3">
      <c r="A141" s="13">
        <v>45383</v>
      </c>
      <c r="B141" t="s">
        <v>30</v>
      </c>
      <c r="C141" t="s">
        <v>65</v>
      </c>
      <c r="D141" t="str">
        <f>INDEX(Clientes!$B$4:$B$15,MATCH(B141,Clientes!$A$4:$A$15,0))</f>
        <v>Ferretería El Tornillo</v>
      </c>
      <c r="E141" t="str">
        <f>INDEX(Catalogo_Servicios!$C$4:$C$24,MATCH(C141,Catalogo_Servicios!$A$4:$A$24,0))</f>
        <v>Declaración mensual de IVA (D-104)</v>
      </c>
      <c r="F141" s="14">
        <v>0.75</v>
      </c>
      <c r="G141" s="15">
        <f>Parametros!$B$4</f>
        <v>28681</v>
      </c>
      <c r="H141" s="14">
        <f>INDEX(Clientes!$E$4:$E$15,MATCH(B141,Clientes!$A$4:$A$15,0))</f>
        <v>1</v>
      </c>
      <c r="I141" s="15">
        <f t="shared" si="2"/>
        <v>21511</v>
      </c>
    </row>
    <row r="142" spans="1:9" x14ac:dyDescent="0.3">
      <c r="A142" s="13">
        <v>45383</v>
      </c>
      <c r="B142" t="s">
        <v>30</v>
      </c>
      <c r="C142" t="s">
        <v>66</v>
      </c>
      <c r="D142" t="str">
        <f>INDEX(Clientes!$B$4:$B$15,MATCH(B142,Clientes!$A$4:$A$15,0))</f>
        <v>Ferretería El Tornillo</v>
      </c>
      <c r="E142" t="str">
        <f>INDEX(Catalogo_Servicios!$C$4:$C$24,MATCH(C142,Catalogo_Servicios!$A$4:$A$24,0))</f>
        <v>Declaración mensual de retenciones (D-103)</v>
      </c>
      <c r="F142" s="14">
        <v>0.25</v>
      </c>
      <c r="G142" s="15">
        <f>Parametros!$B$4</f>
        <v>28681</v>
      </c>
      <c r="H142" s="14">
        <f>INDEX(Clientes!$E$4:$E$15,MATCH(B142,Clientes!$A$4:$A$15,0))</f>
        <v>1</v>
      </c>
      <c r="I142" s="15">
        <f t="shared" si="2"/>
        <v>7170</v>
      </c>
    </row>
    <row r="143" spans="1:9" x14ac:dyDescent="0.3">
      <c r="A143" s="13">
        <v>45383</v>
      </c>
      <c r="B143" t="s">
        <v>31</v>
      </c>
      <c r="C143" t="s">
        <v>65</v>
      </c>
      <c r="D143" t="str">
        <f>INDEX(Clientes!$B$4:$B$15,MATCH(B143,Clientes!$A$4:$A$15,0))</f>
        <v>Clínica Dental Sonrisa</v>
      </c>
      <c r="E143" t="str">
        <f>INDEX(Catalogo_Servicios!$C$4:$C$24,MATCH(C143,Catalogo_Servicios!$A$4:$A$24,0))</f>
        <v>Declaración mensual de IVA (D-104)</v>
      </c>
      <c r="F143" s="14">
        <v>0.75</v>
      </c>
      <c r="G143" s="15">
        <f>Parametros!$B$4</f>
        <v>28681</v>
      </c>
      <c r="H143" s="14">
        <f>INDEX(Clientes!$E$4:$E$15,MATCH(B143,Clientes!$A$4:$A$15,0))</f>
        <v>1.1000000000000001</v>
      </c>
      <c r="I143" s="15">
        <f t="shared" si="2"/>
        <v>23662</v>
      </c>
    </row>
    <row r="144" spans="1:9" x14ac:dyDescent="0.3">
      <c r="A144" s="13">
        <v>45383</v>
      </c>
      <c r="B144" t="s">
        <v>32</v>
      </c>
      <c r="C144" t="s">
        <v>65</v>
      </c>
      <c r="D144" t="str">
        <f>INDEX(Clientes!$B$4:$B$15,MATCH(B144,Clientes!$A$4:$A$15,0))</f>
        <v>Soda y Restaurante Doña Lela</v>
      </c>
      <c r="E144" t="str">
        <f>INDEX(Catalogo_Servicios!$C$4:$C$24,MATCH(C144,Catalogo_Servicios!$A$4:$A$24,0))</f>
        <v>Declaración mensual de IVA (D-104)</v>
      </c>
      <c r="F144" s="14">
        <v>0.75</v>
      </c>
      <c r="G144" s="15">
        <f>Parametros!$B$4</f>
        <v>28681</v>
      </c>
      <c r="H144" s="14">
        <f>INDEX(Clientes!$E$4:$E$15,MATCH(B144,Clientes!$A$4:$A$15,0))</f>
        <v>1</v>
      </c>
      <c r="I144" s="15">
        <f t="shared" si="2"/>
        <v>21511</v>
      </c>
    </row>
    <row r="145" spans="1:9" x14ac:dyDescent="0.3">
      <c r="A145" s="13">
        <v>45383</v>
      </c>
      <c r="B145" t="s">
        <v>33</v>
      </c>
      <c r="C145" t="s">
        <v>65</v>
      </c>
      <c r="D145" t="str">
        <f>INDEX(Clientes!$B$4:$B$15,MATCH(B145,Clientes!$A$4:$A$15,0))</f>
        <v>Transportes Rápidos del Valle</v>
      </c>
      <c r="E145" t="str">
        <f>INDEX(Catalogo_Servicios!$C$4:$C$24,MATCH(C145,Catalogo_Servicios!$A$4:$A$24,0))</f>
        <v>Declaración mensual de IVA (D-104)</v>
      </c>
      <c r="F145" s="14">
        <v>0.75</v>
      </c>
      <c r="G145" s="15">
        <f>Parametros!$B$4</f>
        <v>28681</v>
      </c>
      <c r="H145" s="14">
        <f>INDEX(Clientes!$E$4:$E$15,MATCH(B145,Clientes!$A$4:$A$15,0))</f>
        <v>1</v>
      </c>
      <c r="I145" s="15">
        <f t="shared" si="2"/>
        <v>21511</v>
      </c>
    </row>
    <row r="146" spans="1:9" x14ac:dyDescent="0.3">
      <c r="A146" s="13">
        <v>45383</v>
      </c>
      <c r="B146" t="s">
        <v>33</v>
      </c>
      <c r="C146" t="s">
        <v>66</v>
      </c>
      <c r="D146" t="str">
        <f>INDEX(Clientes!$B$4:$B$15,MATCH(B146,Clientes!$A$4:$A$15,0))</f>
        <v>Transportes Rápidos del Valle</v>
      </c>
      <c r="E146" t="str">
        <f>INDEX(Catalogo_Servicios!$C$4:$C$24,MATCH(C146,Catalogo_Servicios!$A$4:$A$24,0))</f>
        <v>Declaración mensual de retenciones (D-103)</v>
      </c>
      <c r="F146" s="14">
        <v>0.25</v>
      </c>
      <c r="G146" s="15">
        <f>Parametros!$B$4</f>
        <v>28681</v>
      </c>
      <c r="H146" s="14">
        <f>INDEX(Clientes!$E$4:$E$15,MATCH(B146,Clientes!$A$4:$A$15,0))</f>
        <v>1</v>
      </c>
      <c r="I146" s="15">
        <f t="shared" si="2"/>
        <v>7170</v>
      </c>
    </row>
    <row r="147" spans="1:9" x14ac:dyDescent="0.3">
      <c r="A147" s="13">
        <v>45383</v>
      </c>
      <c r="B147" t="s">
        <v>33</v>
      </c>
      <c r="C147" t="s">
        <v>67</v>
      </c>
      <c r="D147" t="str">
        <f>INDEX(Clientes!$B$4:$B$15,MATCH(B147,Clientes!$A$4:$A$15,0))</f>
        <v>Transportes Rápidos del Valle</v>
      </c>
      <c r="E147" t="str">
        <f>INDEX(Catalogo_Servicios!$C$4:$C$24,MATCH(C147,Catalogo_Servicios!$A$4:$A$24,0))</f>
        <v>Cálculo de planillas y cargas sociales (CCSS/INS)</v>
      </c>
      <c r="F147" s="14">
        <v>5.5</v>
      </c>
      <c r="G147" s="15">
        <f>Parametros!$B$4</f>
        <v>28681</v>
      </c>
      <c r="H147" s="14">
        <f>INDEX(Clientes!$E$4:$E$15,MATCH(B147,Clientes!$A$4:$A$15,0))</f>
        <v>1</v>
      </c>
      <c r="I147" s="15">
        <f t="shared" si="2"/>
        <v>157746</v>
      </c>
    </row>
    <row r="148" spans="1:9" x14ac:dyDescent="0.3">
      <c r="A148" s="13">
        <v>45383</v>
      </c>
      <c r="B148" t="s">
        <v>35</v>
      </c>
      <c r="C148" t="s">
        <v>65</v>
      </c>
      <c r="D148" t="str">
        <f>INDEX(Clientes!$B$4:$B$15,MATCH(B148,Clientes!$A$4:$A$15,0))</f>
        <v>Taller Mecánico Hermanos Mora</v>
      </c>
      <c r="E148" t="str">
        <f>INDEX(Catalogo_Servicios!$C$4:$C$24,MATCH(C148,Catalogo_Servicios!$A$4:$A$24,0))</f>
        <v>Declaración mensual de IVA (D-104)</v>
      </c>
      <c r="F148" s="14">
        <v>0.75</v>
      </c>
      <c r="G148" s="15">
        <f>Parametros!$B$4</f>
        <v>28681</v>
      </c>
      <c r="H148" s="14">
        <f>INDEX(Clientes!$E$4:$E$15,MATCH(B148,Clientes!$A$4:$A$15,0))</f>
        <v>1</v>
      </c>
      <c r="I148" s="15">
        <f t="shared" si="2"/>
        <v>21511</v>
      </c>
    </row>
    <row r="149" spans="1:9" x14ac:dyDescent="0.3">
      <c r="A149" s="13">
        <v>45383</v>
      </c>
      <c r="B149" t="s">
        <v>36</v>
      </c>
      <c r="C149" t="s">
        <v>65</v>
      </c>
      <c r="D149" t="str">
        <f>INDEX(Clientes!$B$4:$B$15,MATCH(B149,Clientes!$A$4:$A$15,0))</f>
        <v>Agroservicios Cartago</v>
      </c>
      <c r="E149" t="str">
        <f>INDEX(Catalogo_Servicios!$C$4:$C$24,MATCH(C149,Catalogo_Servicios!$A$4:$A$24,0))</f>
        <v>Declaración mensual de IVA (D-104)</v>
      </c>
      <c r="F149" s="14">
        <v>0.75</v>
      </c>
      <c r="G149" s="15">
        <f>Parametros!$B$4</f>
        <v>28681</v>
      </c>
      <c r="H149" s="14">
        <f>INDEX(Clientes!$E$4:$E$15,MATCH(B149,Clientes!$A$4:$A$15,0))</f>
        <v>1</v>
      </c>
      <c r="I149" s="15">
        <f t="shared" si="2"/>
        <v>21511</v>
      </c>
    </row>
    <row r="150" spans="1:9" x14ac:dyDescent="0.3">
      <c r="A150" s="13">
        <v>45383</v>
      </c>
      <c r="B150" t="s">
        <v>36</v>
      </c>
      <c r="C150" t="s">
        <v>66</v>
      </c>
      <c r="D150" t="str">
        <f>INDEX(Clientes!$B$4:$B$15,MATCH(B150,Clientes!$A$4:$A$15,0))</f>
        <v>Agroservicios Cartago</v>
      </c>
      <c r="E150" t="str">
        <f>INDEX(Catalogo_Servicios!$C$4:$C$24,MATCH(C150,Catalogo_Servicios!$A$4:$A$24,0))</f>
        <v>Declaración mensual de retenciones (D-103)</v>
      </c>
      <c r="F150" s="14">
        <v>0.25</v>
      </c>
      <c r="G150" s="15">
        <f>Parametros!$B$4</f>
        <v>28681</v>
      </c>
      <c r="H150" s="14">
        <f>INDEX(Clientes!$E$4:$E$15,MATCH(B150,Clientes!$A$4:$A$15,0))</f>
        <v>1</v>
      </c>
      <c r="I150" s="15">
        <f t="shared" si="2"/>
        <v>7170</v>
      </c>
    </row>
    <row r="151" spans="1:9" x14ac:dyDescent="0.3">
      <c r="A151" s="13">
        <v>45383</v>
      </c>
      <c r="B151" t="s">
        <v>38</v>
      </c>
      <c r="C151" t="s">
        <v>68</v>
      </c>
      <c r="D151" t="str">
        <f>INDEX(Clientes!$B$4:$B$15,MATCH(B151,Clientes!$A$4:$A$15,0))</f>
        <v>Panadería La Espiga</v>
      </c>
      <c r="E151" t="str">
        <f>INDEX(Catalogo_Servicios!$C$4:$C$24,MATCH(C151,Catalogo_Servicios!$A$4:$A$24,0))</f>
        <v>Asesoría contable, financiera y tributaria</v>
      </c>
      <c r="F151" s="14">
        <v>1.5</v>
      </c>
      <c r="G151" s="15">
        <f>Parametros!$B$4</f>
        <v>28681</v>
      </c>
      <c r="H151" s="14">
        <f>INDEX(Clientes!$E$4:$E$15,MATCH(B151,Clientes!$A$4:$A$15,0))</f>
        <v>1</v>
      </c>
      <c r="I151" s="15">
        <f t="shared" si="2"/>
        <v>43022</v>
      </c>
    </row>
    <row r="152" spans="1:9" x14ac:dyDescent="0.3">
      <c r="A152" s="13">
        <v>45383</v>
      </c>
      <c r="B152" t="s">
        <v>38</v>
      </c>
      <c r="C152" t="s">
        <v>65</v>
      </c>
      <c r="D152" t="str">
        <f>INDEX(Clientes!$B$4:$B$15,MATCH(B152,Clientes!$A$4:$A$15,0))</f>
        <v>Panadería La Espiga</v>
      </c>
      <c r="E152" t="str">
        <f>INDEX(Catalogo_Servicios!$C$4:$C$24,MATCH(C152,Catalogo_Servicios!$A$4:$A$24,0))</f>
        <v>Declaración mensual de IVA (D-104)</v>
      </c>
      <c r="F152" s="14">
        <v>0.75</v>
      </c>
      <c r="G152" s="15">
        <f>Parametros!$B$4</f>
        <v>28681</v>
      </c>
      <c r="H152" s="14">
        <f>INDEX(Clientes!$E$4:$E$15,MATCH(B152,Clientes!$A$4:$A$15,0))</f>
        <v>1</v>
      </c>
      <c r="I152" s="15">
        <f t="shared" si="2"/>
        <v>21511</v>
      </c>
    </row>
    <row r="153" spans="1:9" x14ac:dyDescent="0.3">
      <c r="A153" s="13">
        <v>45383</v>
      </c>
      <c r="B153" t="s">
        <v>38</v>
      </c>
      <c r="C153" t="s">
        <v>67</v>
      </c>
      <c r="D153" t="str">
        <f>INDEX(Clientes!$B$4:$B$15,MATCH(B153,Clientes!$A$4:$A$15,0))</f>
        <v>Panadería La Espiga</v>
      </c>
      <c r="E153" t="str">
        <f>INDEX(Catalogo_Servicios!$C$4:$C$24,MATCH(C153,Catalogo_Servicios!$A$4:$A$24,0))</f>
        <v>Cálculo de planillas y cargas sociales (CCSS/INS)</v>
      </c>
      <c r="F153" s="14">
        <v>7</v>
      </c>
      <c r="G153" s="15">
        <f>Parametros!$B$4</f>
        <v>28681</v>
      </c>
      <c r="H153" s="14">
        <f>INDEX(Clientes!$E$4:$E$15,MATCH(B153,Clientes!$A$4:$A$15,0))</f>
        <v>1</v>
      </c>
      <c r="I153" s="15">
        <f t="shared" si="2"/>
        <v>200767</v>
      </c>
    </row>
    <row r="154" spans="1:9" x14ac:dyDescent="0.3">
      <c r="A154" s="13">
        <v>45413</v>
      </c>
      <c r="B154" t="s">
        <v>29</v>
      </c>
      <c r="C154" t="s">
        <v>64</v>
      </c>
      <c r="D154" t="str">
        <f>INDEX(Clientes!$B$4:$B$15,MATCH(B154,Clientes!$A$4:$A$15,0))</f>
        <v>Distribuidora Los Andes S.A.</v>
      </c>
      <c r="E154" t="str">
        <f>INDEX(Catalogo_Servicios!$C$4:$C$24,MATCH(C154,Catalogo_Servicios!$A$4:$A$24,0))</f>
        <v>Estados financieros mensuales</v>
      </c>
      <c r="F154" s="14">
        <v>3</v>
      </c>
      <c r="G154" s="15">
        <f>Parametros!$B$4</f>
        <v>28681</v>
      </c>
      <c r="H154" s="14">
        <f>INDEX(Clientes!$E$4:$E$15,MATCH(B154,Clientes!$A$4:$A$15,0))</f>
        <v>1</v>
      </c>
      <c r="I154" s="15">
        <f t="shared" si="2"/>
        <v>86043</v>
      </c>
    </row>
    <row r="155" spans="1:9" x14ac:dyDescent="0.3">
      <c r="A155" s="13">
        <v>45413</v>
      </c>
      <c r="B155" t="s">
        <v>29</v>
      </c>
      <c r="C155" t="s">
        <v>65</v>
      </c>
      <c r="D155" t="str">
        <f>INDEX(Clientes!$B$4:$B$15,MATCH(B155,Clientes!$A$4:$A$15,0))</f>
        <v>Distribuidora Los Andes S.A.</v>
      </c>
      <c r="E155" t="str">
        <f>INDEX(Catalogo_Servicios!$C$4:$C$24,MATCH(C155,Catalogo_Servicios!$A$4:$A$24,0))</f>
        <v>Declaración mensual de IVA (D-104)</v>
      </c>
      <c r="F155" s="14">
        <v>0.75</v>
      </c>
      <c r="G155" s="15">
        <f>Parametros!$B$4</f>
        <v>28681</v>
      </c>
      <c r="H155" s="14">
        <f>INDEX(Clientes!$E$4:$E$15,MATCH(B155,Clientes!$A$4:$A$15,0))</f>
        <v>1</v>
      </c>
      <c r="I155" s="15">
        <f t="shared" si="2"/>
        <v>21511</v>
      </c>
    </row>
    <row r="156" spans="1:9" x14ac:dyDescent="0.3">
      <c r="A156" s="13">
        <v>45413</v>
      </c>
      <c r="B156" t="s">
        <v>29</v>
      </c>
      <c r="C156" t="s">
        <v>66</v>
      </c>
      <c r="D156" t="str">
        <f>INDEX(Clientes!$B$4:$B$15,MATCH(B156,Clientes!$A$4:$A$15,0))</f>
        <v>Distribuidora Los Andes S.A.</v>
      </c>
      <c r="E156" t="str">
        <f>INDEX(Catalogo_Servicios!$C$4:$C$24,MATCH(C156,Catalogo_Servicios!$A$4:$A$24,0))</f>
        <v>Declaración mensual de retenciones (D-103)</v>
      </c>
      <c r="F156" s="14">
        <v>0.25</v>
      </c>
      <c r="G156" s="15">
        <f>Parametros!$B$4</f>
        <v>28681</v>
      </c>
      <c r="H156" s="14">
        <f>INDEX(Clientes!$E$4:$E$15,MATCH(B156,Clientes!$A$4:$A$15,0))</f>
        <v>1</v>
      </c>
      <c r="I156" s="15">
        <f t="shared" si="2"/>
        <v>7170</v>
      </c>
    </row>
    <row r="157" spans="1:9" x14ac:dyDescent="0.3">
      <c r="A157" s="13">
        <v>45413</v>
      </c>
      <c r="B157" t="s">
        <v>29</v>
      </c>
      <c r="C157" t="s">
        <v>67</v>
      </c>
      <c r="D157" t="str">
        <f>INDEX(Clientes!$B$4:$B$15,MATCH(B157,Clientes!$A$4:$A$15,0))</f>
        <v>Distribuidora Los Andes S.A.</v>
      </c>
      <c r="E157" t="str">
        <f>INDEX(Catalogo_Servicios!$C$4:$C$24,MATCH(C157,Catalogo_Servicios!$A$4:$A$24,0))</f>
        <v>Cálculo de planillas y cargas sociales (CCSS/INS)</v>
      </c>
      <c r="F157" s="14">
        <v>22</v>
      </c>
      <c r="G157" s="15">
        <f>Parametros!$B$4</f>
        <v>28681</v>
      </c>
      <c r="H157" s="14">
        <f>INDEX(Clientes!$E$4:$E$15,MATCH(B157,Clientes!$A$4:$A$15,0))</f>
        <v>1</v>
      </c>
      <c r="I157" s="15">
        <f t="shared" si="2"/>
        <v>630982</v>
      </c>
    </row>
    <row r="158" spans="1:9" x14ac:dyDescent="0.3">
      <c r="A158" s="13">
        <v>45413</v>
      </c>
      <c r="B158" t="s">
        <v>30</v>
      </c>
      <c r="C158" t="s">
        <v>64</v>
      </c>
      <c r="D158" t="str">
        <f>INDEX(Clientes!$B$4:$B$15,MATCH(B158,Clientes!$A$4:$A$15,0))</f>
        <v>Ferretería El Tornillo</v>
      </c>
      <c r="E158" t="str">
        <f>INDEX(Catalogo_Servicios!$C$4:$C$24,MATCH(C158,Catalogo_Servicios!$A$4:$A$24,0))</f>
        <v>Estados financieros mensuales</v>
      </c>
      <c r="F158" s="14">
        <v>3.25</v>
      </c>
      <c r="G158" s="15">
        <f>Parametros!$B$4</f>
        <v>28681</v>
      </c>
      <c r="H158" s="14">
        <f>INDEX(Clientes!$E$4:$E$15,MATCH(B158,Clientes!$A$4:$A$15,0))</f>
        <v>1</v>
      </c>
      <c r="I158" s="15">
        <f t="shared" si="2"/>
        <v>93213</v>
      </c>
    </row>
    <row r="159" spans="1:9" x14ac:dyDescent="0.3">
      <c r="A159" s="13">
        <v>45413</v>
      </c>
      <c r="B159" t="s">
        <v>30</v>
      </c>
      <c r="C159" t="s">
        <v>65</v>
      </c>
      <c r="D159" t="str">
        <f>INDEX(Clientes!$B$4:$B$15,MATCH(B159,Clientes!$A$4:$A$15,0))</f>
        <v>Ferretería El Tornillo</v>
      </c>
      <c r="E159" t="str">
        <f>INDEX(Catalogo_Servicios!$C$4:$C$24,MATCH(C159,Catalogo_Servicios!$A$4:$A$24,0))</f>
        <v>Declaración mensual de IVA (D-104)</v>
      </c>
      <c r="F159" s="14">
        <v>0.75</v>
      </c>
      <c r="G159" s="15">
        <f>Parametros!$B$4</f>
        <v>28681</v>
      </c>
      <c r="H159" s="14">
        <f>INDEX(Clientes!$E$4:$E$15,MATCH(B159,Clientes!$A$4:$A$15,0))</f>
        <v>1</v>
      </c>
      <c r="I159" s="15">
        <f t="shared" si="2"/>
        <v>21511</v>
      </c>
    </row>
    <row r="160" spans="1:9" x14ac:dyDescent="0.3">
      <c r="A160" s="13">
        <v>45413</v>
      </c>
      <c r="B160" t="s">
        <v>30</v>
      </c>
      <c r="C160" t="s">
        <v>66</v>
      </c>
      <c r="D160" t="str">
        <f>INDEX(Clientes!$B$4:$B$15,MATCH(B160,Clientes!$A$4:$A$15,0))</f>
        <v>Ferretería El Tornillo</v>
      </c>
      <c r="E160" t="str">
        <f>INDEX(Catalogo_Servicios!$C$4:$C$24,MATCH(C160,Catalogo_Servicios!$A$4:$A$24,0))</f>
        <v>Declaración mensual de retenciones (D-103)</v>
      </c>
      <c r="F160" s="14">
        <v>0.25</v>
      </c>
      <c r="G160" s="15">
        <f>Parametros!$B$4</f>
        <v>28681</v>
      </c>
      <c r="H160" s="14">
        <f>INDEX(Clientes!$E$4:$E$15,MATCH(B160,Clientes!$A$4:$A$15,0))</f>
        <v>1</v>
      </c>
      <c r="I160" s="15">
        <f t="shared" si="2"/>
        <v>7170</v>
      </c>
    </row>
    <row r="161" spans="1:9" x14ac:dyDescent="0.3">
      <c r="A161" s="13">
        <v>45413</v>
      </c>
      <c r="B161" t="s">
        <v>31</v>
      </c>
      <c r="C161" t="s">
        <v>68</v>
      </c>
      <c r="D161" t="str">
        <f>INDEX(Clientes!$B$4:$B$15,MATCH(B161,Clientes!$A$4:$A$15,0))</f>
        <v>Clínica Dental Sonrisa</v>
      </c>
      <c r="E161" t="str">
        <f>INDEX(Catalogo_Servicios!$C$4:$C$24,MATCH(C161,Catalogo_Servicios!$A$4:$A$24,0))</f>
        <v>Asesoría contable, financiera y tributaria</v>
      </c>
      <c r="F161" s="14">
        <v>1</v>
      </c>
      <c r="G161" s="15">
        <f>Parametros!$B$4</f>
        <v>28681</v>
      </c>
      <c r="H161" s="14">
        <f>INDEX(Clientes!$E$4:$E$15,MATCH(B161,Clientes!$A$4:$A$15,0))</f>
        <v>1.1000000000000001</v>
      </c>
      <c r="I161" s="15">
        <f t="shared" si="2"/>
        <v>31549</v>
      </c>
    </row>
    <row r="162" spans="1:9" x14ac:dyDescent="0.3">
      <c r="A162" s="13">
        <v>45413</v>
      </c>
      <c r="B162" t="s">
        <v>31</v>
      </c>
      <c r="C162" t="s">
        <v>65</v>
      </c>
      <c r="D162" t="str">
        <f>INDEX(Clientes!$B$4:$B$15,MATCH(B162,Clientes!$A$4:$A$15,0))</f>
        <v>Clínica Dental Sonrisa</v>
      </c>
      <c r="E162" t="str">
        <f>INDEX(Catalogo_Servicios!$C$4:$C$24,MATCH(C162,Catalogo_Servicios!$A$4:$A$24,0))</f>
        <v>Declaración mensual de IVA (D-104)</v>
      </c>
      <c r="F162" s="14">
        <v>0.75</v>
      </c>
      <c r="G162" s="15">
        <f>Parametros!$B$4</f>
        <v>28681</v>
      </c>
      <c r="H162" s="14">
        <f>INDEX(Clientes!$E$4:$E$15,MATCH(B162,Clientes!$A$4:$A$15,0))</f>
        <v>1.1000000000000001</v>
      </c>
      <c r="I162" s="15">
        <f t="shared" si="2"/>
        <v>23662</v>
      </c>
    </row>
    <row r="163" spans="1:9" x14ac:dyDescent="0.3">
      <c r="A163" s="13">
        <v>45413</v>
      </c>
      <c r="B163" t="s">
        <v>32</v>
      </c>
      <c r="C163" t="s">
        <v>65</v>
      </c>
      <c r="D163" t="str">
        <f>INDEX(Clientes!$B$4:$B$15,MATCH(B163,Clientes!$A$4:$A$15,0))</f>
        <v>Soda y Restaurante Doña Lela</v>
      </c>
      <c r="E163" t="str">
        <f>INDEX(Catalogo_Servicios!$C$4:$C$24,MATCH(C163,Catalogo_Servicios!$A$4:$A$24,0))</f>
        <v>Declaración mensual de IVA (D-104)</v>
      </c>
      <c r="F163" s="14">
        <v>0.75</v>
      </c>
      <c r="G163" s="15">
        <f>Parametros!$B$4</f>
        <v>28681</v>
      </c>
      <c r="H163" s="14">
        <f>INDEX(Clientes!$E$4:$E$15,MATCH(B163,Clientes!$A$4:$A$15,0))</f>
        <v>1</v>
      </c>
      <c r="I163" s="15">
        <f t="shared" si="2"/>
        <v>21511</v>
      </c>
    </row>
    <row r="164" spans="1:9" x14ac:dyDescent="0.3">
      <c r="A164" s="13">
        <v>45413</v>
      </c>
      <c r="B164" t="s">
        <v>33</v>
      </c>
      <c r="C164" t="s">
        <v>65</v>
      </c>
      <c r="D164" t="str">
        <f>INDEX(Clientes!$B$4:$B$15,MATCH(B164,Clientes!$A$4:$A$15,0))</f>
        <v>Transportes Rápidos del Valle</v>
      </c>
      <c r="E164" t="str">
        <f>INDEX(Catalogo_Servicios!$C$4:$C$24,MATCH(C164,Catalogo_Servicios!$A$4:$A$24,0))</f>
        <v>Declaración mensual de IVA (D-104)</v>
      </c>
      <c r="F164" s="14">
        <v>0.75</v>
      </c>
      <c r="G164" s="15">
        <f>Parametros!$B$4</f>
        <v>28681</v>
      </c>
      <c r="H164" s="14">
        <f>INDEX(Clientes!$E$4:$E$15,MATCH(B164,Clientes!$A$4:$A$15,0))</f>
        <v>1</v>
      </c>
      <c r="I164" s="15">
        <f t="shared" si="2"/>
        <v>21511</v>
      </c>
    </row>
    <row r="165" spans="1:9" x14ac:dyDescent="0.3">
      <c r="A165" s="13">
        <v>45413</v>
      </c>
      <c r="B165" t="s">
        <v>33</v>
      </c>
      <c r="C165" t="s">
        <v>66</v>
      </c>
      <c r="D165" t="str">
        <f>INDEX(Clientes!$B$4:$B$15,MATCH(B165,Clientes!$A$4:$A$15,0))</f>
        <v>Transportes Rápidos del Valle</v>
      </c>
      <c r="E165" t="str">
        <f>INDEX(Catalogo_Servicios!$C$4:$C$24,MATCH(C165,Catalogo_Servicios!$A$4:$A$24,0))</f>
        <v>Declaración mensual de retenciones (D-103)</v>
      </c>
      <c r="F165" s="14">
        <v>0.25</v>
      </c>
      <c r="G165" s="15">
        <f>Parametros!$B$4</f>
        <v>28681</v>
      </c>
      <c r="H165" s="14">
        <f>INDEX(Clientes!$E$4:$E$15,MATCH(B165,Clientes!$A$4:$A$15,0))</f>
        <v>1</v>
      </c>
      <c r="I165" s="15">
        <f t="shared" si="2"/>
        <v>7170</v>
      </c>
    </row>
    <row r="166" spans="1:9" x14ac:dyDescent="0.3">
      <c r="A166" s="13">
        <v>45413</v>
      </c>
      <c r="B166" t="s">
        <v>33</v>
      </c>
      <c r="C166" t="s">
        <v>67</v>
      </c>
      <c r="D166" t="str">
        <f>INDEX(Clientes!$B$4:$B$15,MATCH(B166,Clientes!$A$4:$A$15,0))</f>
        <v>Transportes Rápidos del Valle</v>
      </c>
      <c r="E166" t="str">
        <f>INDEX(Catalogo_Servicios!$C$4:$C$24,MATCH(C166,Catalogo_Servicios!$A$4:$A$24,0))</f>
        <v>Cálculo de planillas y cargas sociales (CCSS/INS)</v>
      </c>
      <c r="F166" s="14">
        <v>5.5</v>
      </c>
      <c r="G166" s="15">
        <f>Parametros!$B$4</f>
        <v>28681</v>
      </c>
      <c r="H166" s="14">
        <f>INDEX(Clientes!$E$4:$E$15,MATCH(B166,Clientes!$A$4:$A$15,0))</f>
        <v>1</v>
      </c>
      <c r="I166" s="15">
        <f t="shared" si="2"/>
        <v>157746</v>
      </c>
    </row>
    <row r="167" spans="1:9" x14ac:dyDescent="0.3">
      <c r="A167" s="13">
        <v>45413</v>
      </c>
      <c r="B167" t="s">
        <v>35</v>
      </c>
      <c r="C167" t="s">
        <v>65</v>
      </c>
      <c r="D167" t="str">
        <f>INDEX(Clientes!$B$4:$B$15,MATCH(B167,Clientes!$A$4:$A$15,0))</f>
        <v>Taller Mecánico Hermanos Mora</v>
      </c>
      <c r="E167" t="str">
        <f>INDEX(Catalogo_Servicios!$C$4:$C$24,MATCH(C167,Catalogo_Servicios!$A$4:$A$24,0))</f>
        <v>Declaración mensual de IVA (D-104)</v>
      </c>
      <c r="F167" s="14">
        <v>0.75</v>
      </c>
      <c r="G167" s="15">
        <f>Parametros!$B$4</f>
        <v>28681</v>
      </c>
      <c r="H167" s="14">
        <f>INDEX(Clientes!$E$4:$E$15,MATCH(B167,Clientes!$A$4:$A$15,0))</f>
        <v>1</v>
      </c>
      <c r="I167" s="15">
        <f t="shared" si="2"/>
        <v>21511</v>
      </c>
    </row>
    <row r="168" spans="1:9" x14ac:dyDescent="0.3">
      <c r="A168" s="13">
        <v>45413</v>
      </c>
      <c r="B168" t="s">
        <v>35</v>
      </c>
      <c r="C168" t="s">
        <v>73</v>
      </c>
      <c r="D168" t="str">
        <f>INDEX(Clientes!$B$4:$B$15,MATCH(B168,Clientes!$A$4:$A$15,0))</f>
        <v>Taller Mecánico Hermanos Mora</v>
      </c>
      <c r="E168" t="str">
        <f>INDEX(Catalogo_Servicios!$C$4:$C$24,MATCH(C168,Catalogo_Servicios!$A$4:$A$24,0))</f>
        <v>Otros trabajos profesionales no contemplados</v>
      </c>
      <c r="F168" s="14">
        <v>3</v>
      </c>
      <c r="G168" s="15">
        <f>Parametros!$B$4</f>
        <v>28681</v>
      </c>
      <c r="H168" s="14">
        <f>INDEX(Clientes!$E$4:$E$15,MATCH(B168,Clientes!$A$4:$A$15,0))</f>
        <v>1</v>
      </c>
      <c r="I168" s="15">
        <f t="shared" si="2"/>
        <v>86043</v>
      </c>
    </row>
    <row r="169" spans="1:9" x14ac:dyDescent="0.3">
      <c r="A169" s="13">
        <v>45413</v>
      </c>
      <c r="B169" t="s">
        <v>36</v>
      </c>
      <c r="C169" t="s">
        <v>65</v>
      </c>
      <c r="D169" t="str">
        <f>INDEX(Clientes!$B$4:$B$15,MATCH(B169,Clientes!$A$4:$A$15,0))</f>
        <v>Agroservicios Cartago</v>
      </c>
      <c r="E169" t="str">
        <f>INDEX(Catalogo_Servicios!$C$4:$C$24,MATCH(C169,Catalogo_Servicios!$A$4:$A$24,0))</f>
        <v>Declaración mensual de IVA (D-104)</v>
      </c>
      <c r="F169" s="14">
        <v>0.75</v>
      </c>
      <c r="G169" s="15">
        <f>Parametros!$B$4</f>
        <v>28681</v>
      </c>
      <c r="H169" s="14">
        <f>INDEX(Clientes!$E$4:$E$15,MATCH(B169,Clientes!$A$4:$A$15,0))</f>
        <v>1</v>
      </c>
      <c r="I169" s="15">
        <f t="shared" si="2"/>
        <v>21511</v>
      </c>
    </row>
    <row r="170" spans="1:9" x14ac:dyDescent="0.3">
      <c r="A170" s="13">
        <v>45413</v>
      </c>
      <c r="B170" t="s">
        <v>36</v>
      </c>
      <c r="C170" t="s">
        <v>66</v>
      </c>
      <c r="D170" t="str">
        <f>INDEX(Clientes!$B$4:$B$15,MATCH(B170,Clientes!$A$4:$A$15,0))</f>
        <v>Agroservicios Cartago</v>
      </c>
      <c r="E170" t="str">
        <f>INDEX(Catalogo_Servicios!$C$4:$C$24,MATCH(C170,Catalogo_Servicios!$A$4:$A$24,0))</f>
        <v>Declaración mensual de retenciones (D-103)</v>
      </c>
      <c r="F170" s="14">
        <v>0.25</v>
      </c>
      <c r="G170" s="15">
        <f>Parametros!$B$4</f>
        <v>28681</v>
      </c>
      <c r="H170" s="14">
        <f>INDEX(Clientes!$E$4:$E$15,MATCH(B170,Clientes!$A$4:$A$15,0))</f>
        <v>1</v>
      </c>
      <c r="I170" s="15">
        <f t="shared" si="2"/>
        <v>7170</v>
      </c>
    </row>
    <row r="171" spans="1:9" x14ac:dyDescent="0.3">
      <c r="A171" s="13">
        <v>45413</v>
      </c>
      <c r="B171" t="s">
        <v>38</v>
      </c>
      <c r="C171" t="s">
        <v>65</v>
      </c>
      <c r="D171" t="str">
        <f>INDEX(Clientes!$B$4:$B$15,MATCH(B171,Clientes!$A$4:$A$15,0))</f>
        <v>Panadería La Espiga</v>
      </c>
      <c r="E171" t="str">
        <f>INDEX(Catalogo_Servicios!$C$4:$C$24,MATCH(C171,Catalogo_Servicios!$A$4:$A$24,0))</f>
        <v>Declaración mensual de IVA (D-104)</v>
      </c>
      <c r="F171" s="14">
        <v>0.75</v>
      </c>
      <c r="G171" s="15">
        <f>Parametros!$B$4</f>
        <v>28681</v>
      </c>
      <c r="H171" s="14">
        <f>INDEX(Clientes!$E$4:$E$15,MATCH(B171,Clientes!$A$4:$A$15,0))</f>
        <v>1</v>
      </c>
      <c r="I171" s="15">
        <f t="shared" si="2"/>
        <v>21511</v>
      </c>
    </row>
    <row r="172" spans="1:9" x14ac:dyDescent="0.3">
      <c r="A172" s="13">
        <v>45413</v>
      </c>
      <c r="B172" t="s">
        <v>38</v>
      </c>
      <c r="C172" t="s">
        <v>67</v>
      </c>
      <c r="D172" t="str">
        <f>INDEX(Clientes!$B$4:$B$15,MATCH(B172,Clientes!$A$4:$A$15,0))</f>
        <v>Panadería La Espiga</v>
      </c>
      <c r="E172" t="str">
        <f>INDEX(Catalogo_Servicios!$C$4:$C$24,MATCH(C172,Catalogo_Servicios!$A$4:$A$24,0))</f>
        <v>Cálculo de planillas y cargas sociales (CCSS/INS)</v>
      </c>
      <c r="F172" s="14">
        <v>7</v>
      </c>
      <c r="G172" s="15">
        <f>Parametros!$B$4</f>
        <v>28681</v>
      </c>
      <c r="H172" s="14">
        <f>INDEX(Clientes!$E$4:$E$15,MATCH(B172,Clientes!$A$4:$A$15,0))</f>
        <v>1</v>
      </c>
      <c r="I172" s="15">
        <f t="shared" si="2"/>
        <v>200767</v>
      </c>
    </row>
    <row r="173" spans="1:9" x14ac:dyDescent="0.3">
      <c r="A173" s="13">
        <v>45444</v>
      </c>
      <c r="B173" t="s">
        <v>29</v>
      </c>
      <c r="C173" t="s">
        <v>64</v>
      </c>
      <c r="D173" t="str">
        <f>INDEX(Clientes!$B$4:$B$15,MATCH(B173,Clientes!$A$4:$A$15,0))</f>
        <v>Distribuidora Los Andes S.A.</v>
      </c>
      <c r="E173" t="str">
        <f>INDEX(Catalogo_Servicios!$C$4:$C$24,MATCH(C173,Catalogo_Servicios!$A$4:$A$24,0))</f>
        <v>Estados financieros mensuales</v>
      </c>
      <c r="F173" s="14">
        <v>3</v>
      </c>
      <c r="G173" s="15">
        <f>Parametros!$B$4</f>
        <v>28681</v>
      </c>
      <c r="H173" s="14">
        <f>INDEX(Clientes!$E$4:$E$15,MATCH(B173,Clientes!$A$4:$A$15,0))</f>
        <v>1</v>
      </c>
      <c r="I173" s="15">
        <f t="shared" si="2"/>
        <v>86043</v>
      </c>
    </row>
    <row r="174" spans="1:9" x14ac:dyDescent="0.3">
      <c r="A174" s="13">
        <v>45444</v>
      </c>
      <c r="B174" t="s">
        <v>29</v>
      </c>
      <c r="C174" t="s">
        <v>65</v>
      </c>
      <c r="D174" t="str">
        <f>INDEX(Clientes!$B$4:$B$15,MATCH(B174,Clientes!$A$4:$A$15,0))</f>
        <v>Distribuidora Los Andes S.A.</v>
      </c>
      <c r="E174" t="str">
        <f>INDEX(Catalogo_Servicios!$C$4:$C$24,MATCH(C174,Catalogo_Servicios!$A$4:$A$24,0))</f>
        <v>Declaración mensual de IVA (D-104)</v>
      </c>
      <c r="F174" s="14">
        <v>0.75</v>
      </c>
      <c r="G174" s="15">
        <f>Parametros!$B$4</f>
        <v>28681</v>
      </c>
      <c r="H174" s="14">
        <f>INDEX(Clientes!$E$4:$E$15,MATCH(B174,Clientes!$A$4:$A$15,0))</f>
        <v>1</v>
      </c>
      <c r="I174" s="15">
        <f t="shared" si="2"/>
        <v>21511</v>
      </c>
    </row>
    <row r="175" spans="1:9" x14ac:dyDescent="0.3">
      <c r="A175" s="13">
        <v>45444</v>
      </c>
      <c r="B175" t="s">
        <v>29</v>
      </c>
      <c r="C175" t="s">
        <v>66</v>
      </c>
      <c r="D175" t="str">
        <f>INDEX(Clientes!$B$4:$B$15,MATCH(B175,Clientes!$A$4:$A$15,0))</f>
        <v>Distribuidora Los Andes S.A.</v>
      </c>
      <c r="E175" t="str">
        <f>INDEX(Catalogo_Servicios!$C$4:$C$24,MATCH(C175,Catalogo_Servicios!$A$4:$A$24,0))</f>
        <v>Declaración mensual de retenciones (D-103)</v>
      </c>
      <c r="F175" s="14">
        <v>0.25</v>
      </c>
      <c r="G175" s="15">
        <f>Parametros!$B$4</f>
        <v>28681</v>
      </c>
      <c r="H175" s="14">
        <f>INDEX(Clientes!$E$4:$E$15,MATCH(B175,Clientes!$A$4:$A$15,0))</f>
        <v>1</v>
      </c>
      <c r="I175" s="15">
        <f t="shared" si="2"/>
        <v>7170</v>
      </c>
    </row>
    <row r="176" spans="1:9" x14ac:dyDescent="0.3">
      <c r="A176" s="13">
        <v>45444</v>
      </c>
      <c r="B176" t="s">
        <v>29</v>
      </c>
      <c r="C176" t="s">
        <v>67</v>
      </c>
      <c r="D176" t="str">
        <f>INDEX(Clientes!$B$4:$B$15,MATCH(B176,Clientes!$A$4:$A$15,0))</f>
        <v>Distribuidora Los Andes S.A.</v>
      </c>
      <c r="E176" t="str">
        <f>INDEX(Catalogo_Servicios!$C$4:$C$24,MATCH(C176,Catalogo_Servicios!$A$4:$A$24,0))</f>
        <v>Cálculo de planillas y cargas sociales (CCSS/INS)</v>
      </c>
      <c r="F176" s="14">
        <v>20</v>
      </c>
      <c r="G176" s="15">
        <f>Parametros!$B$4</f>
        <v>28681</v>
      </c>
      <c r="H176" s="14">
        <f>INDEX(Clientes!$E$4:$E$15,MATCH(B176,Clientes!$A$4:$A$15,0))</f>
        <v>1</v>
      </c>
      <c r="I176" s="15">
        <f t="shared" si="2"/>
        <v>573620</v>
      </c>
    </row>
    <row r="177" spans="1:9" x14ac:dyDescent="0.3">
      <c r="A177" s="13">
        <v>45444</v>
      </c>
      <c r="B177" t="s">
        <v>30</v>
      </c>
      <c r="C177" t="s">
        <v>64</v>
      </c>
      <c r="D177" t="str">
        <f>INDEX(Clientes!$B$4:$B$15,MATCH(B177,Clientes!$A$4:$A$15,0))</f>
        <v>Ferretería El Tornillo</v>
      </c>
      <c r="E177" t="str">
        <f>INDEX(Catalogo_Servicios!$C$4:$C$24,MATCH(C177,Catalogo_Servicios!$A$4:$A$24,0))</f>
        <v>Estados financieros mensuales</v>
      </c>
      <c r="F177" s="14">
        <v>3</v>
      </c>
      <c r="G177" s="15">
        <f>Parametros!$B$4</f>
        <v>28681</v>
      </c>
      <c r="H177" s="14">
        <f>INDEX(Clientes!$E$4:$E$15,MATCH(B177,Clientes!$A$4:$A$15,0))</f>
        <v>1</v>
      </c>
      <c r="I177" s="15">
        <f t="shared" si="2"/>
        <v>86043</v>
      </c>
    </row>
    <row r="178" spans="1:9" x14ac:dyDescent="0.3">
      <c r="A178" s="13">
        <v>45444</v>
      </c>
      <c r="B178" t="s">
        <v>30</v>
      </c>
      <c r="C178" t="s">
        <v>65</v>
      </c>
      <c r="D178" t="str">
        <f>INDEX(Clientes!$B$4:$B$15,MATCH(B178,Clientes!$A$4:$A$15,0))</f>
        <v>Ferretería El Tornillo</v>
      </c>
      <c r="E178" t="str">
        <f>INDEX(Catalogo_Servicios!$C$4:$C$24,MATCH(C178,Catalogo_Servicios!$A$4:$A$24,0))</f>
        <v>Declaración mensual de IVA (D-104)</v>
      </c>
      <c r="F178" s="14">
        <v>0.75</v>
      </c>
      <c r="G178" s="15">
        <f>Parametros!$B$4</f>
        <v>28681</v>
      </c>
      <c r="H178" s="14">
        <f>INDEX(Clientes!$E$4:$E$15,MATCH(B178,Clientes!$A$4:$A$15,0))</f>
        <v>1</v>
      </c>
      <c r="I178" s="15">
        <f t="shared" si="2"/>
        <v>21511</v>
      </c>
    </row>
    <row r="179" spans="1:9" x14ac:dyDescent="0.3">
      <c r="A179" s="13">
        <v>45444</v>
      </c>
      <c r="B179" t="s">
        <v>30</v>
      </c>
      <c r="C179" t="s">
        <v>66</v>
      </c>
      <c r="D179" t="str">
        <f>INDEX(Clientes!$B$4:$B$15,MATCH(B179,Clientes!$A$4:$A$15,0))</f>
        <v>Ferretería El Tornillo</v>
      </c>
      <c r="E179" t="str">
        <f>INDEX(Catalogo_Servicios!$C$4:$C$24,MATCH(C179,Catalogo_Servicios!$A$4:$A$24,0))</f>
        <v>Declaración mensual de retenciones (D-103)</v>
      </c>
      <c r="F179" s="14">
        <v>0.25</v>
      </c>
      <c r="G179" s="15">
        <f>Parametros!$B$4</f>
        <v>28681</v>
      </c>
      <c r="H179" s="14">
        <f>INDEX(Clientes!$E$4:$E$15,MATCH(B179,Clientes!$A$4:$A$15,0))</f>
        <v>1</v>
      </c>
      <c r="I179" s="15">
        <f t="shared" si="2"/>
        <v>7170</v>
      </c>
    </row>
    <row r="180" spans="1:9" x14ac:dyDescent="0.3">
      <c r="A180" s="13">
        <v>45444</v>
      </c>
      <c r="B180" t="s">
        <v>31</v>
      </c>
      <c r="C180" t="s">
        <v>65</v>
      </c>
      <c r="D180" t="str">
        <f>INDEX(Clientes!$B$4:$B$15,MATCH(B180,Clientes!$A$4:$A$15,0))</f>
        <v>Clínica Dental Sonrisa</v>
      </c>
      <c r="E180" t="str">
        <f>INDEX(Catalogo_Servicios!$C$4:$C$24,MATCH(C180,Catalogo_Servicios!$A$4:$A$24,0))</f>
        <v>Declaración mensual de IVA (D-104)</v>
      </c>
      <c r="F180" s="14">
        <v>0.75</v>
      </c>
      <c r="G180" s="15">
        <f>Parametros!$B$4</f>
        <v>28681</v>
      </c>
      <c r="H180" s="14">
        <f>INDEX(Clientes!$E$4:$E$15,MATCH(B180,Clientes!$A$4:$A$15,0))</f>
        <v>1.1000000000000001</v>
      </c>
      <c r="I180" s="15">
        <f t="shared" si="2"/>
        <v>23662</v>
      </c>
    </row>
    <row r="181" spans="1:9" x14ac:dyDescent="0.3">
      <c r="A181" s="13">
        <v>45444</v>
      </c>
      <c r="B181" t="s">
        <v>32</v>
      </c>
      <c r="C181" t="s">
        <v>65</v>
      </c>
      <c r="D181" t="str">
        <f>INDEX(Clientes!$B$4:$B$15,MATCH(B181,Clientes!$A$4:$A$15,0))</f>
        <v>Soda y Restaurante Doña Lela</v>
      </c>
      <c r="E181" t="str">
        <f>INDEX(Catalogo_Servicios!$C$4:$C$24,MATCH(C181,Catalogo_Servicios!$A$4:$A$24,0))</f>
        <v>Declaración mensual de IVA (D-104)</v>
      </c>
      <c r="F181" s="14">
        <v>0.75</v>
      </c>
      <c r="G181" s="15">
        <f>Parametros!$B$4</f>
        <v>28681</v>
      </c>
      <c r="H181" s="14">
        <f>INDEX(Clientes!$E$4:$E$15,MATCH(B181,Clientes!$A$4:$A$15,0))</f>
        <v>1</v>
      </c>
      <c r="I181" s="15">
        <f t="shared" si="2"/>
        <v>21511</v>
      </c>
    </row>
    <row r="182" spans="1:9" x14ac:dyDescent="0.3">
      <c r="A182" s="13">
        <v>45444</v>
      </c>
      <c r="B182" t="s">
        <v>33</v>
      </c>
      <c r="C182" t="s">
        <v>65</v>
      </c>
      <c r="D182" t="str">
        <f>INDEX(Clientes!$B$4:$B$15,MATCH(B182,Clientes!$A$4:$A$15,0))</f>
        <v>Transportes Rápidos del Valle</v>
      </c>
      <c r="E182" t="str">
        <f>INDEX(Catalogo_Servicios!$C$4:$C$24,MATCH(C182,Catalogo_Servicios!$A$4:$A$24,0))</f>
        <v>Declaración mensual de IVA (D-104)</v>
      </c>
      <c r="F182" s="14">
        <v>0.75</v>
      </c>
      <c r="G182" s="15">
        <f>Parametros!$B$4</f>
        <v>28681</v>
      </c>
      <c r="H182" s="14">
        <f>INDEX(Clientes!$E$4:$E$15,MATCH(B182,Clientes!$A$4:$A$15,0))</f>
        <v>1</v>
      </c>
      <c r="I182" s="15">
        <f t="shared" si="2"/>
        <v>21511</v>
      </c>
    </row>
    <row r="183" spans="1:9" x14ac:dyDescent="0.3">
      <c r="A183" s="13">
        <v>45444</v>
      </c>
      <c r="B183" t="s">
        <v>33</v>
      </c>
      <c r="C183" t="s">
        <v>66</v>
      </c>
      <c r="D183" t="str">
        <f>INDEX(Clientes!$B$4:$B$15,MATCH(B183,Clientes!$A$4:$A$15,0))</f>
        <v>Transportes Rápidos del Valle</v>
      </c>
      <c r="E183" t="str">
        <f>INDEX(Catalogo_Servicios!$C$4:$C$24,MATCH(C183,Catalogo_Servicios!$A$4:$A$24,0))</f>
        <v>Declaración mensual de retenciones (D-103)</v>
      </c>
      <c r="F183" s="14">
        <v>0.25</v>
      </c>
      <c r="G183" s="15">
        <f>Parametros!$B$4</f>
        <v>28681</v>
      </c>
      <c r="H183" s="14">
        <f>INDEX(Clientes!$E$4:$E$15,MATCH(B183,Clientes!$A$4:$A$15,0))</f>
        <v>1</v>
      </c>
      <c r="I183" s="15">
        <f t="shared" si="2"/>
        <v>7170</v>
      </c>
    </row>
    <row r="184" spans="1:9" x14ac:dyDescent="0.3">
      <c r="A184" s="13">
        <v>45444</v>
      </c>
      <c r="B184" t="s">
        <v>33</v>
      </c>
      <c r="C184" t="s">
        <v>67</v>
      </c>
      <c r="D184" t="str">
        <f>INDEX(Clientes!$B$4:$B$15,MATCH(B184,Clientes!$A$4:$A$15,0))</f>
        <v>Transportes Rápidos del Valle</v>
      </c>
      <c r="E184" t="str">
        <f>INDEX(Catalogo_Servicios!$C$4:$C$24,MATCH(C184,Catalogo_Servicios!$A$4:$A$24,0))</f>
        <v>Cálculo de planillas y cargas sociales (CCSS/INS)</v>
      </c>
      <c r="F184" s="14">
        <v>5.5</v>
      </c>
      <c r="G184" s="15">
        <f>Parametros!$B$4</f>
        <v>28681</v>
      </c>
      <c r="H184" s="14">
        <f>INDEX(Clientes!$E$4:$E$15,MATCH(B184,Clientes!$A$4:$A$15,0))</f>
        <v>1</v>
      </c>
      <c r="I184" s="15">
        <f t="shared" si="2"/>
        <v>157746</v>
      </c>
    </row>
    <row r="185" spans="1:9" x14ac:dyDescent="0.3">
      <c r="A185" s="13">
        <v>45444</v>
      </c>
      <c r="B185" t="s">
        <v>35</v>
      </c>
      <c r="C185" t="s">
        <v>65</v>
      </c>
      <c r="D185" t="str">
        <f>INDEX(Clientes!$B$4:$B$15,MATCH(B185,Clientes!$A$4:$A$15,0))</f>
        <v>Taller Mecánico Hermanos Mora</v>
      </c>
      <c r="E185" t="str">
        <f>INDEX(Catalogo_Servicios!$C$4:$C$24,MATCH(C185,Catalogo_Servicios!$A$4:$A$24,0))</f>
        <v>Declaración mensual de IVA (D-104)</v>
      </c>
      <c r="F185" s="14">
        <v>0.75</v>
      </c>
      <c r="G185" s="15">
        <f>Parametros!$B$4</f>
        <v>28681</v>
      </c>
      <c r="H185" s="14">
        <f>INDEX(Clientes!$E$4:$E$15,MATCH(B185,Clientes!$A$4:$A$15,0))</f>
        <v>1</v>
      </c>
      <c r="I185" s="15">
        <f t="shared" si="2"/>
        <v>21511</v>
      </c>
    </row>
    <row r="186" spans="1:9" x14ac:dyDescent="0.3">
      <c r="A186" s="13">
        <v>45444</v>
      </c>
      <c r="B186" t="s">
        <v>36</v>
      </c>
      <c r="C186" t="s">
        <v>65</v>
      </c>
      <c r="D186" t="str">
        <f>INDEX(Clientes!$B$4:$B$15,MATCH(B186,Clientes!$A$4:$A$15,0))</f>
        <v>Agroservicios Cartago</v>
      </c>
      <c r="E186" t="str">
        <f>INDEX(Catalogo_Servicios!$C$4:$C$24,MATCH(C186,Catalogo_Servicios!$A$4:$A$24,0))</f>
        <v>Declaración mensual de IVA (D-104)</v>
      </c>
      <c r="F186" s="14">
        <v>0.75</v>
      </c>
      <c r="G186" s="15">
        <f>Parametros!$B$4</f>
        <v>28681</v>
      </c>
      <c r="H186" s="14">
        <f>INDEX(Clientes!$E$4:$E$15,MATCH(B186,Clientes!$A$4:$A$15,0))</f>
        <v>1</v>
      </c>
      <c r="I186" s="15">
        <f t="shared" si="2"/>
        <v>21511</v>
      </c>
    </row>
    <row r="187" spans="1:9" x14ac:dyDescent="0.3">
      <c r="A187" s="13">
        <v>45444</v>
      </c>
      <c r="B187" t="s">
        <v>36</v>
      </c>
      <c r="C187" t="s">
        <v>66</v>
      </c>
      <c r="D187" t="str">
        <f>INDEX(Clientes!$B$4:$B$15,MATCH(B187,Clientes!$A$4:$A$15,0))</f>
        <v>Agroservicios Cartago</v>
      </c>
      <c r="E187" t="str">
        <f>INDEX(Catalogo_Servicios!$C$4:$C$24,MATCH(C187,Catalogo_Servicios!$A$4:$A$24,0))</f>
        <v>Declaración mensual de retenciones (D-103)</v>
      </c>
      <c r="F187" s="14">
        <v>0.25</v>
      </c>
      <c r="G187" s="15">
        <f>Parametros!$B$4</f>
        <v>28681</v>
      </c>
      <c r="H187" s="14">
        <f>INDEX(Clientes!$E$4:$E$15,MATCH(B187,Clientes!$A$4:$A$15,0))</f>
        <v>1</v>
      </c>
      <c r="I187" s="15">
        <f t="shared" si="2"/>
        <v>7170</v>
      </c>
    </row>
    <row r="188" spans="1:9" x14ac:dyDescent="0.3">
      <c r="A188" s="13">
        <v>45444</v>
      </c>
      <c r="B188" t="s">
        <v>38</v>
      </c>
      <c r="C188" t="s">
        <v>65</v>
      </c>
      <c r="D188" t="str">
        <f>INDEX(Clientes!$B$4:$B$15,MATCH(B188,Clientes!$A$4:$A$15,0))</f>
        <v>Panadería La Espiga</v>
      </c>
      <c r="E188" t="str">
        <f>INDEX(Catalogo_Servicios!$C$4:$C$24,MATCH(C188,Catalogo_Servicios!$A$4:$A$24,0))</f>
        <v>Declaración mensual de IVA (D-104)</v>
      </c>
      <c r="F188" s="14">
        <v>0.75</v>
      </c>
      <c r="G188" s="15">
        <f>Parametros!$B$4</f>
        <v>28681</v>
      </c>
      <c r="H188" s="14">
        <f>INDEX(Clientes!$E$4:$E$15,MATCH(B188,Clientes!$A$4:$A$15,0))</f>
        <v>1</v>
      </c>
      <c r="I188" s="15">
        <f t="shared" si="2"/>
        <v>21511</v>
      </c>
    </row>
    <row r="189" spans="1:9" x14ac:dyDescent="0.3">
      <c r="A189" s="13">
        <v>45444</v>
      </c>
      <c r="B189" t="s">
        <v>38</v>
      </c>
      <c r="C189" t="s">
        <v>67</v>
      </c>
      <c r="D189" t="str">
        <f>INDEX(Clientes!$B$4:$B$15,MATCH(B189,Clientes!$A$4:$A$15,0))</f>
        <v>Panadería La Espiga</v>
      </c>
      <c r="E189" t="str">
        <f>INDEX(Catalogo_Servicios!$C$4:$C$24,MATCH(C189,Catalogo_Servicios!$A$4:$A$24,0))</f>
        <v>Cálculo de planillas y cargas sociales (CCSS/INS)</v>
      </c>
      <c r="F189" s="14">
        <v>7</v>
      </c>
      <c r="G189" s="15">
        <f>Parametros!$B$4</f>
        <v>28681</v>
      </c>
      <c r="H189" s="14">
        <f>INDEX(Clientes!$E$4:$E$15,MATCH(B189,Clientes!$A$4:$A$15,0))</f>
        <v>1</v>
      </c>
      <c r="I189" s="15">
        <f t="shared" si="2"/>
        <v>200767</v>
      </c>
    </row>
    <row r="190" spans="1:9" x14ac:dyDescent="0.3">
      <c r="A190" s="13">
        <v>45474</v>
      </c>
      <c r="B190" t="s">
        <v>29</v>
      </c>
      <c r="C190" t="s">
        <v>64</v>
      </c>
      <c r="D190" t="str">
        <f>INDEX(Clientes!$B$4:$B$15,MATCH(B190,Clientes!$A$4:$A$15,0))</f>
        <v>Distribuidora Los Andes S.A.</v>
      </c>
      <c r="E190" t="str">
        <f>INDEX(Catalogo_Servicios!$C$4:$C$24,MATCH(C190,Catalogo_Servicios!$A$4:$A$24,0))</f>
        <v>Estados financieros mensuales</v>
      </c>
      <c r="F190" s="14">
        <v>3</v>
      </c>
      <c r="G190" s="15">
        <f>Parametros!$B$4</f>
        <v>28681</v>
      </c>
      <c r="H190" s="14">
        <f>INDEX(Clientes!$E$4:$E$15,MATCH(B190,Clientes!$A$4:$A$15,0))</f>
        <v>1</v>
      </c>
      <c r="I190" s="15">
        <f t="shared" si="2"/>
        <v>86043</v>
      </c>
    </row>
    <row r="191" spans="1:9" x14ac:dyDescent="0.3">
      <c r="A191" s="13">
        <v>45474</v>
      </c>
      <c r="B191" t="s">
        <v>29</v>
      </c>
      <c r="C191" t="s">
        <v>65</v>
      </c>
      <c r="D191" t="str">
        <f>INDEX(Clientes!$B$4:$B$15,MATCH(B191,Clientes!$A$4:$A$15,0))</f>
        <v>Distribuidora Los Andes S.A.</v>
      </c>
      <c r="E191" t="str">
        <f>INDEX(Catalogo_Servicios!$C$4:$C$24,MATCH(C191,Catalogo_Servicios!$A$4:$A$24,0))</f>
        <v>Declaración mensual de IVA (D-104)</v>
      </c>
      <c r="F191" s="14">
        <v>0.75</v>
      </c>
      <c r="G191" s="15">
        <f>Parametros!$B$4</f>
        <v>28681</v>
      </c>
      <c r="H191" s="14">
        <f>INDEX(Clientes!$E$4:$E$15,MATCH(B191,Clientes!$A$4:$A$15,0))</f>
        <v>1</v>
      </c>
      <c r="I191" s="15">
        <f t="shared" si="2"/>
        <v>21511</v>
      </c>
    </row>
    <row r="192" spans="1:9" x14ac:dyDescent="0.3">
      <c r="A192" s="13">
        <v>45474</v>
      </c>
      <c r="B192" t="s">
        <v>29</v>
      </c>
      <c r="C192" t="s">
        <v>66</v>
      </c>
      <c r="D192" t="str">
        <f>INDEX(Clientes!$B$4:$B$15,MATCH(B192,Clientes!$A$4:$A$15,0))</f>
        <v>Distribuidora Los Andes S.A.</v>
      </c>
      <c r="E192" t="str">
        <f>INDEX(Catalogo_Servicios!$C$4:$C$24,MATCH(C192,Catalogo_Servicios!$A$4:$A$24,0))</f>
        <v>Declaración mensual de retenciones (D-103)</v>
      </c>
      <c r="F192" s="14">
        <v>0.25</v>
      </c>
      <c r="G192" s="15">
        <f>Parametros!$B$4</f>
        <v>28681</v>
      </c>
      <c r="H192" s="14">
        <f>INDEX(Clientes!$E$4:$E$15,MATCH(B192,Clientes!$A$4:$A$15,0))</f>
        <v>1</v>
      </c>
      <c r="I192" s="15">
        <f t="shared" si="2"/>
        <v>7170</v>
      </c>
    </row>
    <row r="193" spans="1:9" x14ac:dyDescent="0.3">
      <c r="A193" s="13">
        <v>45474</v>
      </c>
      <c r="B193" t="s">
        <v>29</v>
      </c>
      <c r="C193" t="s">
        <v>67</v>
      </c>
      <c r="D193" t="str">
        <f>INDEX(Clientes!$B$4:$B$15,MATCH(B193,Clientes!$A$4:$A$15,0))</f>
        <v>Distribuidora Los Andes S.A.</v>
      </c>
      <c r="E193" t="str">
        <f>INDEX(Catalogo_Servicios!$C$4:$C$24,MATCH(C193,Catalogo_Servicios!$A$4:$A$24,0))</f>
        <v>Cálculo de planillas y cargas sociales (CCSS/INS)</v>
      </c>
      <c r="F193" s="14">
        <v>30.5</v>
      </c>
      <c r="G193" s="15">
        <f>Parametros!$B$4</f>
        <v>28681</v>
      </c>
      <c r="H193" s="14">
        <f>INDEX(Clientes!$E$4:$E$15,MATCH(B193,Clientes!$A$4:$A$15,0))</f>
        <v>1</v>
      </c>
      <c r="I193" s="15">
        <f t="shared" si="2"/>
        <v>874771</v>
      </c>
    </row>
    <row r="194" spans="1:9" x14ac:dyDescent="0.3">
      <c r="A194" s="13">
        <v>45474</v>
      </c>
      <c r="B194" t="s">
        <v>30</v>
      </c>
      <c r="C194" t="s">
        <v>64</v>
      </c>
      <c r="D194" t="str">
        <f>INDEX(Clientes!$B$4:$B$15,MATCH(B194,Clientes!$A$4:$A$15,0))</f>
        <v>Ferretería El Tornillo</v>
      </c>
      <c r="E194" t="str">
        <f>INDEX(Catalogo_Servicios!$C$4:$C$24,MATCH(C194,Catalogo_Servicios!$A$4:$A$24,0))</f>
        <v>Estados financieros mensuales</v>
      </c>
      <c r="F194" s="14">
        <v>3.25</v>
      </c>
      <c r="G194" s="15">
        <f>Parametros!$B$4</f>
        <v>28681</v>
      </c>
      <c r="H194" s="14">
        <f>INDEX(Clientes!$E$4:$E$15,MATCH(B194,Clientes!$A$4:$A$15,0))</f>
        <v>1</v>
      </c>
      <c r="I194" s="15">
        <f t="shared" si="2"/>
        <v>93213</v>
      </c>
    </row>
    <row r="195" spans="1:9" x14ac:dyDescent="0.3">
      <c r="A195" s="13">
        <v>45474</v>
      </c>
      <c r="B195" t="s">
        <v>30</v>
      </c>
      <c r="C195" t="s">
        <v>65</v>
      </c>
      <c r="D195" t="str">
        <f>INDEX(Clientes!$B$4:$B$15,MATCH(B195,Clientes!$A$4:$A$15,0))</f>
        <v>Ferretería El Tornillo</v>
      </c>
      <c r="E195" t="str">
        <f>INDEX(Catalogo_Servicios!$C$4:$C$24,MATCH(C195,Catalogo_Servicios!$A$4:$A$24,0))</f>
        <v>Declaración mensual de IVA (D-104)</v>
      </c>
      <c r="F195" s="14">
        <v>0.75</v>
      </c>
      <c r="G195" s="15">
        <f>Parametros!$B$4</f>
        <v>28681</v>
      </c>
      <c r="H195" s="14">
        <f>INDEX(Clientes!$E$4:$E$15,MATCH(B195,Clientes!$A$4:$A$15,0))</f>
        <v>1</v>
      </c>
      <c r="I195" s="15">
        <f t="shared" si="2"/>
        <v>21511</v>
      </c>
    </row>
    <row r="196" spans="1:9" x14ac:dyDescent="0.3">
      <c r="A196" s="13">
        <v>45474</v>
      </c>
      <c r="B196" t="s">
        <v>30</v>
      </c>
      <c r="C196" t="s">
        <v>66</v>
      </c>
      <c r="D196" t="str">
        <f>INDEX(Clientes!$B$4:$B$15,MATCH(B196,Clientes!$A$4:$A$15,0))</f>
        <v>Ferretería El Tornillo</v>
      </c>
      <c r="E196" t="str">
        <f>INDEX(Catalogo_Servicios!$C$4:$C$24,MATCH(C196,Catalogo_Servicios!$A$4:$A$24,0))</f>
        <v>Declaración mensual de retenciones (D-103)</v>
      </c>
      <c r="F196" s="14">
        <v>0.25</v>
      </c>
      <c r="G196" s="15">
        <f>Parametros!$B$4</f>
        <v>28681</v>
      </c>
      <c r="H196" s="14">
        <f>INDEX(Clientes!$E$4:$E$15,MATCH(B196,Clientes!$A$4:$A$15,0))</f>
        <v>1</v>
      </c>
      <c r="I196" s="15">
        <f t="shared" ref="I196:I259" si="3">ROUND(F196*G196*H196,0)</f>
        <v>7170</v>
      </c>
    </row>
    <row r="197" spans="1:9" x14ac:dyDescent="0.3">
      <c r="A197" s="13">
        <v>45474</v>
      </c>
      <c r="B197" t="s">
        <v>31</v>
      </c>
      <c r="C197" t="s">
        <v>65</v>
      </c>
      <c r="D197" t="str">
        <f>INDEX(Clientes!$B$4:$B$15,MATCH(B197,Clientes!$A$4:$A$15,0))</f>
        <v>Clínica Dental Sonrisa</v>
      </c>
      <c r="E197" t="str">
        <f>INDEX(Catalogo_Servicios!$C$4:$C$24,MATCH(C197,Catalogo_Servicios!$A$4:$A$24,0))</f>
        <v>Declaración mensual de IVA (D-104)</v>
      </c>
      <c r="F197" s="14">
        <v>0.75</v>
      </c>
      <c r="G197" s="15">
        <f>Parametros!$B$4</f>
        <v>28681</v>
      </c>
      <c r="H197" s="14">
        <f>INDEX(Clientes!$E$4:$E$15,MATCH(B197,Clientes!$A$4:$A$15,0))</f>
        <v>1.1000000000000001</v>
      </c>
      <c r="I197" s="15">
        <f t="shared" si="3"/>
        <v>23662</v>
      </c>
    </row>
    <row r="198" spans="1:9" x14ac:dyDescent="0.3">
      <c r="A198" s="13">
        <v>45474</v>
      </c>
      <c r="B198" t="s">
        <v>32</v>
      </c>
      <c r="C198" t="s">
        <v>65</v>
      </c>
      <c r="D198" t="str">
        <f>INDEX(Clientes!$B$4:$B$15,MATCH(B198,Clientes!$A$4:$A$15,0))</f>
        <v>Soda y Restaurante Doña Lela</v>
      </c>
      <c r="E198" t="str">
        <f>INDEX(Catalogo_Servicios!$C$4:$C$24,MATCH(C198,Catalogo_Servicios!$A$4:$A$24,0))</f>
        <v>Declaración mensual de IVA (D-104)</v>
      </c>
      <c r="F198" s="14">
        <v>0.75</v>
      </c>
      <c r="G198" s="15">
        <f>Parametros!$B$4</f>
        <v>28681</v>
      </c>
      <c r="H198" s="14">
        <f>INDEX(Clientes!$E$4:$E$15,MATCH(B198,Clientes!$A$4:$A$15,0))</f>
        <v>1</v>
      </c>
      <c r="I198" s="15">
        <f t="shared" si="3"/>
        <v>21511</v>
      </c>
    </row>
    <row r="199" spans="1:9" x14ac:dyDescent="0.3">
      <c r="A199" s="13">
        <v>45474</v>
      </c>
      <c r="B199" t="s">
        <v>33</v>
      </c>
      <c r="C199" t="s">
        <v>65</v>
      </c>
      <c r="D199" t="str">
        <f>INDEX(Clientes!$B$4:$B$15,MATCH(B199,Clientes!$A$4:$A$15,0))</f>
        <v>Transportes Rápidos del Valle</v>
      </c>
      <c r="E199" t="str">
        <f>INDEX(Catalogo_Servicios!$C$4:$C$24,MATCH(C199,Catalogo_Servicios!$A$4:$A$24,0))</f>
        <v>Declaración mensual de IVA (D-104)</v>
      </c>
      <c r="F199" s="14">
        <v>0.75</v>
      </c>
      <c r="G199" s="15">
        <f>Parametros!$B$4</f>
        <v>28681</v>
      </c>
      <c r="H199" s="14">
        <f>INDEX(Clientes!$E$4:$E$15,MATCH(B199,Clientes!$A$4:$A$15,0))</f>
        <v>1</v>
      </c>
      <c r="I199" s="15">
        <f t="shared" si="3"/>
        <v>21511</v>
      </c>
    </row>
    <row r="200" spans="1:9" x14ac:dyDescent="0.3">
      <c r="A200" s="13">
        <v>45474</v>
      </c>
      <c r="B200" t="s">
        <v>33</v>
      </c>
      <c r="C200" t="s">
        <v>66</v>
      </c>
      <c r="D200" t="str">
        <f>INDEX(Clientes!$B$4:$B$15,MATCH(B200,Clientes!$A$4:$A$15,0))</f>
        <v>Transportes Rápidos del Valle</v>
      </c>
      <c r="E200" t="str">
        <f>INDEX(Catalogo_Servicios!$C$4:$C$24,MATCH(C200,Catalogo_Servicios!$A$4:$A$24,0))</f>
        <v>Declaración mensual de retenciones (D-103)</v>
      </c>
      <c r="F200" s="14">
        <v>0.25</v>
      </c>
      <c r="G200" s="15">
        <f>Parametros!$B$4</f>
        <v>28681</v>
      </c>
      <c r="H200" s="14">
        <f>INDEX(Clientes!$E$4:$E$15,MATCH(B200,Clientes!$A$4:$A$15,0))</f>
        <v>1</v>
      </c>
      <c r="I200" s="15">
        <f t="shared" si="3"/>
        <v>7170</v>
      </c>
    </row>
    <row r="201" spans="1:9" x14ac:dyDescent="0.3">
      <c r="A201" s="13">
        <v>45474</v>
      </c>
      <c r="B201" t="s">
        <v>33</v>
      </c>
      <c r="C201" t="s">
        <v>67</v>
      </c>
      <c r="D201" t="str">
        <f>INDEX(Clientes!$B$4:$B$15,MATCH(B201,Clientes!$A$4:$A$15,0))</f>
        <v>Transportes Rápidos del Valle</v>
      </c>
      <c r="E201" t="str">
        <f>INDEX(Catalogo_Servicios!$C$4:$C$24,MATCH(C201,Catalogo_Servicios!$A$4:$A$24,0))</f>
        <v>Cálculo de planillas y cargas sociales (CCSS/INS)</v>
      </c>
      <c r="F201" s="14">
        <v>6</v>
      </c>
      <c r="G201" s="15">
        <f>Parametros!$B$4</f>
        <v>28681</v>
      </c>
      <c r="H201" s="14">
        <f>INDEX(Clientes!$E$4:$E$15,MATCH(B201,Clientes!$A$4:$A$15,0))</f>
        <v>1</v>
      </c>
      <c r="I201" s="15">
        <f t="shared" si="3"/>
        <v>172086</v>
      </c>
    </row>
    <row r="202" spans="1:9" x14ac:dyDescent="0.3">
      <c r="A202" s="13">
        <v>45474</v>
      </c>
      <c r="B202" t="s">
        <v>34</v>
      </c>
      <c r="C202" t="s">
        <v>68</v>
      </c>
      <c r="D202" t="str">
        <f>INDEX(Clientes!$B$4:$B$15,MATCH(B202,Clientes!$A$4:$A$15,0))</f>
        <v>Boutique Luna Nueva</v>
      </c>
      <c r="E202" t="str">
        <f>INDEX(Catalogo_Servicios!$C$4:$C$24,MATCH(C202,Catalogo_Servicios!$A$4:$A$24,0))</f>
        <v>Asesoría contable, financiera y tributaria</v>
      </c>
      <c r="F202" s="14">
        <v>1</v>
      </c>
      <c r="G202" s="15">
        <f>Parametros!$B$4</f>
        <v>28681</v>
      </c>
      <c r="H202" s="14">
        <f>INDEX(Clientes!$E$4:$E$15,MATCH(B202,Clientes!$A$4:$A$15,0))</f>
        <v>1.1499999999999999</v>
      </c>
      <c r="I202" s="15">
        <f t="shared" si="3"/>
        <v>32983</v>
      </c>
    </row>
    <row r="203" spans="1:9" x14ac:dyDescent="0.3">
      <c r="A203" s="13">
        <v>45474</v>
      </c>
      <c r="B203" t="s">
        <v>35</v>
      </c>
      <c r="C203" t="s">
        <v>65</v>
      </c>
      <c r="D203" t="str">
        <f>INDEX(Clientes!$B$4:$B$15,MATCH(B203,Clientes!$A$4:$A$15,0))</f>
        <v>Taller Mecánico Hermanos Mora</v>
      </c>
      <c r="E203" t="str">
        <f>INDEX(Catalogo_Servicios!$C$4:$C$24,MATCH(C203,Catalogo_Servicios!$A$4:$A$24,0))</f>
        <v>Declaración mensual de IVA (D-104)</v>
      </c>
      <c r="F203" s="14">
        <v>0.75</v>
      </c>
      <c r="G203" s="15">
        <f>Parametros!$B$4</f>
        <v>28681</v>
      </c>
      <c r="H203" s="14">
        <f>INDEX(Clientes!$E$4:$E$15,MATCH(B203,Clientes!$A$4:$A$15,0))</f>
        <v>1</v>
      </c>
      <c r="I203" s="15">
        <f t="shared" si="3"/>
        <v>21511</v>
      </c>
    </row>
    <row r="204" spans="1:9" x14ac:dyDescent="0.3">
      <c r="A204" s="13">
        <v>45474</v>
      </c>
      <c r="B204" t="s">
        <v>36</v>
      </c>
      <c r="C204" t="s">
        <v>65</v>
      </c>
      <c r="D204" t="str">
        <f>INDEX(Clientes!$B$4:$B$15,MATCH(B204,Clientes!$A$4:$A$15,0))</f>
        <v>Agroservicios Cartago</v>
      </c>
      <c r="E204" t="str">
        <f>INDEX(Catalogo_Servicios!$C$4:$C$24,MATCH(C204,Catalogo_Servicios!$A$4:$A$24,0))</f>
        <v>Declaración mensual de IVA (D-104)</v>
      </c>
      <c r="F204" s="14">
        <v>0.75</v>
      </c>
      <c r="G204" s="15">
        <f>Parametros!$B$4</f>
        <v>28681</v>
      </c>
      <c r="H204" s="14">
        <f>INDEX(Clientes!$E$4:$E$15,MATCH(B204,Clientes!$A$4:$A$15,0))</f>
        <v>1</v>
      </c>
      <c r="I204" s="15">
        <f t="shared" si="3"/>
        <v>21511</v>
      </c>
    </row>
    <row r="205" spans="1:9" x14ac:dyDescent="0.3">
      <c r="A205" s="13">
        <v>45474</v>
      </c>
      <c r="B205" t="s">
        <v>36</v>
      </c>
      <c r="C205" t="s">
        <v>66</v>
      </c>
      <c r="D205" t="str">
        <f>INDEX(Clientes!$B$4:$B$15,MATCH(B205,Clientes!$A$4:$A$15,0))</f>
        <v>Agroservicios Cartago</v>
      </c>
      <c r="E205" t="str">
        <f>INDEX(Catalogo_Servicios!$C$4:$C$24,MATCH(C205,Catalogo_Servicios!$A$4:$A$24,0))</f>
        <v>Declaración mensual de retenciones (D-103)</v>
      </c>
      <c r="F205" s="14">
        <v>0.25</v>
      </c>
      <c r="G205" s="15">
        <f>Parametros!$B$4</f>
        <v>28681</v>
      </c>
      <c r="H205" s="14">
        <f>INDEX(Clientes!$E$4:$E$15,MATCH(B205,Clientes!$A$4:$A$15,0))</f>
        <v>1</v>
      </c>
      <c r="I205" s="15">
        <f t="shared" si="3"/>
        <v>7170</v>
      </c>
    </row>
    <row r="206" spans="1:9" x14ac:dyDescent="0.3">
      <c r="A206" s="13">
        <v>45474</v>
      </c>
      <c r="B206" t="s">
        <v>38</v>
      </c>
      <c r="C206" t="s">
        <v>65</v>
      </c>
      <c r="D206" t="str">
        <f>INDEX(Clientes!$B$4:$B$15,MATCH(B206,Clientes!$A$4:$A$15,0))</f>
        <v>Panadería La Espiga</v>
      </c>
      <c r="E206" t="str">
        <f>INDEX(Catalogo_Servicios!$C$4:$C$24,MATCH(C206,Catalogo_Servicios!$A$4:$A$24,0))</f>
        <v>Declaración mensual de IVA (D-104)</v>
      </c>
      <c r="F206" s="14">
        <v>0.75</v>
      </c>
      <c r="G206" s="15">
        <f>Parametros!$B$4</f>
        <v>28681</v>
      </c>
      <c r="H206" s="14">
        <f>INDEX(Clientes!$E$4:$E$15,MATCH(B206,Clientes!$A$4:$A$15,0))</f>
        <v>1</v>
      </c>
      <c r="I206" s="15">
        <f t="shared" si="3"/>
        <v>21511</v>
      </c>
    </row>
    <row r="207" spans="1:9" x14ac:dyDescent="0.3">
      <c r="A207" s="13">
        <v>45474</v>
      </c>
      <c r="B207" t="s">
        <v>38</v>
      </c>
      <c r="C207" t="s">
        <v>67</v>
      </c>
      <c r="D207" t="str">
        <f>INDEX(Clientes!$B$4:$B$15,MATCH(B207,Clientes!$A$4:$A$15,0))</f>
        <v>Panadería La Espiga</v>
      </c>
      <c r="E207" t="str">
        <f>INDEX(Catalogo_Servicios!$C$4:$C$24,MATCH(C207,Catalogo_Servicios!$A$4:$A$24,0))</f>
        <v>Cálculo de planillas y cargas sociales (CCSS/INS)</v>
      </c>
      <c r="F207" s="14">
        <v>6.5</v>
      </c>
      <c r="G207" s="15">
        <f>Parametros!$B$4</f>
        <v>28681</v>
      </c>
      <c r="H207" s="14">
        <f>INDEX(Clientes!$E$4:$E$15,MATCH(B207,Clientes!$A$4:$A$15,0))</f>
        <v>1</v>
      </c>
      <c r="I207" s="15">
        <f t="shared" si="3"/>
        <v>186427</v>
      </c>
    </row>
    <row r="208" spans="1:9" x14ac:dyDescent="0.3">
      <c r="A208" s="13">
        <v>45505</v>
      </c>
      <c r="B208" t="s">
        <v>29</v>
      </c>
      <c r="C208" t="s">
        <v>64</v>
      </c>
      <c r="D208" t="str">
        <f>INDEX(Clientes!$B$4:$B$15,MATCH(B208,Clientes!$A$4:$A$15,0))</f>
        <v>Distribuidora Los Andes S.A.</v>
      </c>
      <c r="E208" t="str">
        <f>INDEX(Catalogo_Servicios!$C$4:$C$24,MATCH(C208,Catalogo_Servicios!$A$4:$A$24,0))</f>
        <v>Estados financieros mensuales</v>
      </c>
      <c r="F208" s="14">
        <v>3</v>
      </c>
      <c r="G208" s="15">
        <f>Parametros!$B$4</f>
        <v>28681</v>
      </c>
      <c r="H208" s="14">
        <f>INDEX(Clientes!$E$4:$E$15,MATCH(B208,Clientes!$A$4:$A$15,0))</f>
        <v>1</v>
      </c>
      <c r="I208" s="15">
        <f t="shared" si="3"/>
        <v>86043</v>
      </c>
    </row>
    <row r="209" spans="1:9" x14ac:dyDescent="0.3">
      <c r="A209" s="13">
        <v>45505</v>
      </c>
      <c r="B209" t="s">
        <v>29</v>
      </c>
      <c r="C209" t="s">
        <v>65</v>
      </c>
      <c r="D209" t="str">
        <f>INDEX(Clientes!$B$4:$B$15,MATCH(B209,Clientes!$A$4:$A$15,0))</f>
        <v>Distribuidora Los Andes S.A.</v>
      </c>
      <c r="E209" t="str">
        <f>INDEX(Catalogo_Servicios!$C$4:$C$24,MATCH(C209,Catalogo_Servicios!$A$4:$A$24,0))</f>
        <v>Declaración mensual de IVA (D-104)</v>
      </c>
      <c r="F209" s="14">
        <v>0.75</v>
      </c>
      <c r="G209" s="15">
        <f>Parametros!$B$4</f>
        <v>28681</v>
      </c>
      <c r="H209" s="14">
        <f>INDEX(Clientes!$E$4:$E$15,MATCH(B209,Clientes!$A$4:$A$15,0))</f>
        <v>1</v>
      </c>
      <c r="I209" s="15">
        <f t="shared" si="3"/>
        <v>21511</v>
      </c>
    </row>
    <row r="210" spans="1:9" x14ac:dyDescent="0.3">
      <c r="A210" s="13">
        <v>45505</v>
      </c>
      <c r="B210" t="s">
        <v>29</v>
      </c>
      <c r="C210" t="s">
        <v>66</v>
      </c>
      <c r="D210" t="str">
        <f>INDEX(Clientes!$B$4:$B$15,MATCH(B210,Clientes!$A$4:$A$15,0))</f>
        <v>Distribuidora Los Andes S.A.</v>
      </c>
      <c r="E210" t="str">
        <f>INDEX(Catalogo_Servicios!$C$4:$C$24,MATCH(C210,Catalogo_Servicios!$A$4:$A$24,0))</f>
        <v>Declaración mensual de retenciones (D-103)</v>
      </c>
      <c r="F210" s="14">
        <v>0.25</v>
      </c>
      <c r="G210" s="15">
        <f>Parametros!$B$4</f>
        <v>28681</v>
      </c>
      <c r="H210" s="14">
        <f>INDEX(Clientes!$E$4:$E$15,MATCH(B210,Clientes!$A$4:$A$15,0))</f>
        <v>1</v>
      </c>
      <c r="I210" s="15">
        <f t="shared" si="3"/>
        <v>7170</v>
      </c>
    </row>
    <row r="211" spans="1:9" x14ac:dyDescent="0.3">
      <c r="A211" s="13">
        <v>45505</v>
      </c>
      <c r="B211" t="s">
        <v>29</v>
      </c>
      <c r="C211" t="s">
        <v>67</v>
      </c>
      <c r="D211" t="str">
        <f>INDEX(Clientes!$B$4:$B$15,MATCH(B211,Clientes!$A$4:$A$15,0))</f>
        <v>Distribuidora Los Andes S.A.</v>
      </c>
      <c r="E211" t="str">
        <f>INDEX(Catalogo_Servicios!$C$4:$C$24,MATCH(C211,Catalogo_Servicios!$A$4:$A$24,0))</f>
        <v>Cálculo de planillas y cargas sociales (CCSS/INS)</v>
      </c>
      <c r="F211" s="14">
        <v>21.5</v>
      </c>
      <c r="G211" s="15">
        <f>Parametros!$B$4</f>
        <v>28681</v>
      </c>
      <c r="H211" s="14">
        <f>INDEX(Clientes!$E$4:$E$15,MATCH(B211,Clientes!$A$4:$A$15,0))</f>
        <v>1</v>
      </c>
      <c r="I211" s="15">
        <f t="shared" si="3"/>
        <v>616642</v>
      </c>
    </row>
    <row r="212" spans="1:9" x14ac:dyDescent="0.3">
      <c r="A212" s="13">
        <v>45505</v>
      </c>
      <c r="B212" t="s">
        <v>30</v>
      </c>
      <c r="C212" t="s">
        <v>64</v>
      </c>
      <c r="D212" t="str">
        <f>INDEX(Clientes!$B$4:$B$15,MATCH(B212,Clientes!$A$4:$A$15,0))</f>
        <v>Ferretería El Tornillo</v>
      </c>
      <c r="E212" t="str">
        <f>INDEX(Catalogo_Servicios!$C$4:$C$24,MATCH(C212,Catalogo_Servicios!$A$4:$A$24,0))</f>
        <v>Estados financieros mensuales</v>
      </c>
      <c r="F212" s="14">
        <v>3.25</v>
      </c>
      <c r="G212" s="15">
        <f>Parametros!$B$4</f>
        <v>28681</v>
      </c>
      <c r="H212" s="14">
        <f>INDEX(Clientes!$E$4:$E$15,MATCH(B212,Clientes!$A$4:$A$15,0))</f>
        <v>1</v>
      </c>
      <c r="I212" s="15">
        <f t="shared" si="3"/>
        <v>93213</v>
      </c>
    </row>
    <row r="213" spans="1:9" x14ac:dyDescent="0.3">
      <c r="A213" s="13">
        <v>45505</v>
      </c>
      <c r="B213" t="s">
        <v>30</v>
      </c>
      <c r="C213" t="s">
        <v>65</v>
      </c>
      <c r="D213" t="str">
        <f>INDEX(Clientes!$B$4:$B$15,MATCH(B213,Clientes!$A$4:$A$15,0))</f>
        <v>Ferretería El Tornillo</v>
      </c>
      <c r="E213" t="str">
        <f>INDEX(Catalogo_Servicios!$C$4:$C$24,MATCH(C213,Catalogo_Servicios!$A$4:$A$24,0))</f>
        <v>Declaración mensual de IVA (D-104)</v>
      </c>
      <c r="F213" s="14">
        <v>0.75</v>
      </c>
      <c r="G213" s="15">
        <f>Parametros!$B$4</f>
        <v>28681</v>
      </c>
      <c r="H213" s="14">
        <f>INDEX(Clientes!$E$4:$E$15,MATCH(B213,Clientes!$A$4:$A$15,0))</f>
        <v>1</v>
      </c>
      <c r="I213" s="15">
        <f t="shared" si="3"/>
        <v>21511</v>
      </c>
    </row>
    <row r="214" spans="1:9" x14ac:dyDescent="0.3">
      <c r="A214" s="13">
        <v>45505</v>
      </c>
      <c r="B214" t="s">
        <v>30</v>
      </c>
      <c r="C214" t="s">
        <v>66</v>
      </c>
      <c r="D214" t="str">
        <f>INDEX(Clientes!$B$4:$B$15,MATCH(B214,Clientes!$A$4:$A$15,0))</f>
        <v>Ferretería El Tornillo</v>
      </c>
      <c r="E214" t="str">
        <f>INDEX(Catalogo_Servicios!$C$4:$C$24,MATCH(C214,Catalogo_Servicios!$A$4:$A$24,0))</f>
        <v>Declaración mensual de retenciones (D-103)</v>
      </c>
      <c r="F214" s="14">
        <v>0.25</v>
      </c>
      <c r="G214" s="15">
        <f>Parametros!$B$4</f>
        <v>28681</v>
      </c>
      <c r="H214" s="14">
        <f>INDEX(Clientes!$E$4:$E$15,MATCH(B214,Clientes!$A$4:$A$15,0))</f>
        <v>1</v>
      </c>
      <c r="I214" s="15">
        <f t="shared" si="3"/>
        <v>7170</v>
      </c>
    </row>
    <row r="215" spans="1:9" x14ac:dyDescent="0.3">
      <c r="A215" s="13">
        <v>45505</v>
      </c>
      <c r="B215" t="s">
        <v>31</v>
      </c>
      <c r="C215" t="s">
        <v>65</v>
      </c>
      <c r="D215" t="str">
        <f>INDEX(Clientes!$B$4:$B$15,MATCH(B215,Clientes!$A$4:$A$15,0))</f>
        <v>Clínica Dental Sonrisa</v>
      </c>
      <c r="E215" t="str">
        <f>INDEX(Catalogo_Servicios!$C$4:$C$24,MATCH(C215,Catalogo_Servicios!$A$4:$A$24,0))</f>
        <v>Declaración mensual de IVA (D-104)</v>
      </c>
      <c r="F215" s="14">
        <v>0.75</v>
      </c>
      <c r="G215" s="15">
        <f>Parametros!$B$4</f>
        <v>28681</v>
      </c>
      <c r="H215" s="14">
        <f>INDEX(Clientes!$E$4:$E$15,MATCH(B215,Clientes!$A$4:$A$15,0))</f>
        <v>1.1000000000000001</v>
      </c>
      <c r="I215" s="15">
        <f t="shared" si="3"/>
        <v>23662</v>
      </c>
    </row>
    <row r="216" spans="1:9" x14ac:dyDescent="0.3">
      <c r="A216" s="13">
        <v>45505</v>
      </c>
      <c r="B216" t="s">
        <v>32</v>
      </c>
      <c r="C216" t="s">
        <v>65</v>
      </c>
      <c r="D216" t="str">
        <f>INDEX(Clientes!$B$4:$B$15,MATCH(B216,Clientes!$A$4:$A$15,0))</f>
        <v>Soda y Restaurante Doña Lela</v>
      </c>
      <c r="E216" t="str">
        <f>INDEX(Catalogo_Servicios!$C$4:$C$24,MATCH(C216,Catalogo_Servicios!$A$4:$A$24,0))</f>
        <v>Declaración mensual de IVA (D-104)</v>
      </c>
      <c r="F216" s="14">
        <v>0.75</v>
      </c>
      <c r="G216" s="15">
        <f>Parametros!$B$4</f>
        <v>28681</v>
      </c>
      <c r="H216" s="14">
        <f>INDEX(Clientes!$E$4:$E$15,MATCH(B216,Clientes!$A$4:$A$15,0))</f>
        <v>1</v>
      </c>
      <c r="I216" s="15">
        <f t="shared" si="3"/>
        <v>21511</v>
      </c>
    </row>
    <row r="217" spans="1:9" x14ac:dyDescent="0.3">
      <c r="A217" s="13">
        <v>45505</v>
      </c>
      <c r="B217" t="s">
        <v>33</v>
      </c>
      <c r="C217" t="s">
        <v>65</v>
      </c>
      <c r="D217" t="str">
        <f>INDEX(Clientes!$B$4:$B$15,MATCH(B217,Clientes!$A$4:$A$15,0))</f>
        <v>Transportes Rápidos del Valle</v>
      </c>
      <c r="E217" t="str">
        <f>INDEX(Catalogo_Servicios!$C$4:$C$24,MATCH(C217,Catalogo_Servicios!$A$4:$A$24,0))</f>
        <v>Declaración mensual de IVA (D-104)</v>
      </c>
      <c r="F217" s="14">
        <v>0.75</v>
      </c>
      <c r="G217" s="15">
        <f>Parametros!$B$4</f>
        <v>28681</v>
      </c>
      <c r="H217" s="14">
        <f>INDEX(Clientes!$E$4:$E$15,MATCH(B217,Clientes!$A$4:$A$15,0))</f>
        <v>1</v>
      </c>
      <c r="I217" s="15">
        <f t="shared" si="3"/>
        <v>21511</v>
      </c>
    </row>
    <row r="218" spans="1:9" x14ac:dyDescent="0.3">
      <c r="A218" s="13">
        <v>45505</v>
      </c>
      <c r="B218" t="s">
        <v>33</v>
      </c>
      <c r="C218" t="s">
        <v>66</v>
      </c>
      <c r="D218" t="str">
        <f>INDEX(Clientes!$B$4:$B$15,MATCH(B218,Clientes!$A$4:$A$15,0))</f>
        <v>Transportes Rápidos del Valle</v>
      </c>
      <c r="E218" t="str">
        <f>INDEX(Catalogo_Servicios!$C$4:$C$24,MATCH(C218,Catalogo_Servicios!$A$4:$A$24,0))</f>
        <v>Declaración mensual de retenciones (D-103)</v>
      </c>
      <c r="F218" s="14">
        <v>0.25</v>
      </c>
      <c r="G218" s="15">
        <f>Parametros!$B$4</f>
        <v>28681</v>
      </c>
      <c r="H218" s="14">
        <f>INDEX(Clientes!$E$4:$E$15,MATCH(B218,Clientes!$A$4:$A$15,0))</f>
        <v>1</v>
      </c>
      <c r="I218" s="15">
        <f t="shared" si="3"/>
        <v>7170</v>
      </c>
    </row>
    <row r="219" spans="1:9" x14ac:dyDescent="0.3">
      <c r="A219" s="13">
        <v>45505</v>
      </c>
      <c r="B219" t="s">
        <v>33</v>
      </c>
      <c r="C219" t="s">
        <v>67</v>
      </c>
      <c r="D219" t="str">
        <f>INDEX(Clientes!$B$4:$B$15,MATCH(B219,Clientes!$A$4:$A$15,0))</f>
        <v>Transportes Rápidos del Valle</v>
      </c>
      <c r="E219" t="str">
        <f>INDEX(Catalogo_Servicios!$C$4:$C$24,MATCH(C219,Catalogo_Servicios!$A$4:$A$24,0))</f>
        <v>Cálculo de planillas y cargas sociales (CCSS/INS)</v>
      </c>
      <c r="F219" s="14">
        <v>5.5</v>
      </c>
      <c r="G219" s="15">
        <f>Parametros!$B$4</f>
        <v>28681</v>
      </c>
      <c r="H219" s="14">
        <f>INDEX(Clientes!$E$4:$E$15,MATCH(B219,Clientes!$A$4:$A$15,0))</f>
        <v>1</v>
      </c>
      <c r="I219" s="15">
        <f t="shared" si="3"/>
        <v>157746</v>
      </c>
    </row>
    <row r="220" spans="1:9" x14ac:dyDescent="0.3">
      <c r="A220" s="13">
        <v>45505</v>
      </c>
      <c r="B220" t="s">
        <v>35</v>
      </c>
      <c r="C220" t="s">
        <v>65</v>
      </c>
      <c r="D220" t="str">
        <f>INDEX(Clientes!$B$4:$B$15,MATCH(B220,Clientes!$A$4:$A$15,0))</f>
        <v>Taller Mecánico Hermanos Mora</v>
      </c>
      <c r="E220" t="str">
        <f>INDEX(Catalogo_Servicios!$C$4:$C$24,MATCH(C220,Catalogo_Servicios!$A$4:$A$24,0))</f>
        <v>Declaración mensual de IVA (D-104)</v>
      </c>
      <c r="F220" s="14">
        <v>0.75</v>
      </c>
      <c r="G220" s="15">
        <f>Parametros!$B$4</f>
        <v>28681</v>
      </c>
      <c r="H220" s="14">
        <f>INDEX(Clientes!$E$4:$E$15,MATCH(B220,Clientes!$A$4:$A$15,0))</f>
        <v>1</v>
      </c>
      <c r="I220" s="15">
        <f t="shared" si="3"/>
        <v>21511</v>
      </c>
    </row>
    <row r="221" spans="1:9" x14ac:dyDescent="0.3">
      <c r="A221" s="13">
        <v>45505</v>
      </c>
      <c r="B221" t="s">
        <v>36</v>
      </c>
      <c r="C221" t="s">
        <v>65</v>
      </c>
      <c r="D221" t="str">
        <f>INDEX(Clientes!$B$4:$B$15,MATCH(B221,Clientes!$A$4:$A$15,0))</f>
        <v>Agroservicios Cartago</v>
      </c>
      <c r="E221" t="str">
        <f>INDEX(Catalogo_Servicios!$C$4:$C$24,MATCH(C221,Catalogo_Servicios!$A$4:$A$24,0))</f>
        <v>Declaración mensual de IVA (D-104)</v>
      </c>
      <c r="F221" s="14">
        <v>0.75</v>
      </c>
      <c r="G221" s="15">
        <f>Parametros!$B$4</f>
        <v>28681</v>
      </c>
      <c r="H221" s="14">
        <f>INDEX(Clientes!$E$4:$E$15,MATCH(B221,Clientes!$A$4:$A$15,0))</f>
        <v>1</v>
      </c>
      <c r="I221" s="15">
        <f t="shared" si="3"/>
        <v>21511</v>
      </c>
    </row>
    <row r="222" spans="1:9" x14ac:dyDescent="0.3">
      <c r="A222" s="13">
        <v>45505</v>
      </c>
      <c r="B222" t="s">
        <v>36</v>
      </c>
      <c r="C222" t="s">
        <v>66</v>
      </c>
      <c r="D222" t="str">
        <f>INDEX(Clientes!$B$4:$B$15,MATCH(B222,Clientes!$A$4:$A$15,0))</f>
        <v>Agroservicios Cartago</v>
      </c>
      <c r="E222" t="str">
        <f>INDEX(Catalogo_Servicios!$C$4:$C$24,MATCH(C222,Catalogo_Servicios!$A$4:$A$24,0))</f>
        <v>Declaración mensual de retenciones (D-103)</v>
      </c>
      <c r="F222" s="14">
        <v>0.25</v>
      </c>
      <c r="G222" s="15">
        <f>Parametros!$B$4</f>
        <v>28681</v>
      </c>
      <c r="H222" s="14">
        <f>INDEX(Clientes!$E$4:$E$15,MATCH(B222,Clientes!$A$4:$A$15,0))</f>
        <v>1</v>
      </c>
      <c r="I222" s="15">
        <f t="shared" si="3"/>
        <v>7170</v>
      </c>
    </row>
    <row r="223" spans="1:9" x14ac:dyDescent="0.3">
      <c r="A223" s="13">
        <v>45505</v>
      </c>
      <c r="B223" t="s">
        <v>38</v>
      </c>
      <c r="C223" t="s">
        <v>65</v>
      </c>
      <c r="D223" t="str">
        <f>INDEX(Clientes!$B$4:$B$15,MATCH(B223,Clientes!$A$4:$A$15,0))</f>
        <v>Panadería La Espiga</v>
      </c>
      <c r="E223" t="str">
        <f>INDEX(Catalogo_Servicios!$C$4:$C$24,MATCH(C223,Catalogo_Servicios!$A$4:$A$24,0))</f>
        <v>Declaración mensual de IVA (D-104)</v>
      </c>
      <c r="F223" s="14">
        <v>0.75</v>
      </c>
      <c r="G223" s="15">
        <f>Parametros!$B$4</f>
        <v>28681</v>
      </c>
      <c r="H223" s="14">
        <f>INDEX(Clientes!$E$4:$E$15,MATCH(B223,Clientes!$A$4:$A$15,0))</f>
        <v>1</v>
      </c>
      <c r="I223" s="15">
        <f t="shared" si="3"/>
        <v>21511</v>
      </c>
    </row>
    <row r="224" spans="1:9" x14ac:dyDescent="0.3">
      <c r="A224" s="13">
        <v>45505</v>
      </c>
      <c r="B224" t="s">
        <v>38</v>
      </c>
      <c r="C224" t="s">
        <v>67</v>
      </c>
      <c r="D224" t="str">
        <f>INDEX(Clientes!$B$4:$B$15,MATCH(B224,Clientes!$A$4:$A$15,0))</f>
        <v>Panadería La Espiga</v>
      </c>
      <c r="E224" t="str">
        <f>INDEX(Catalogo_Servicios!$C$4:$C$24,MATCH(C224,Catalogo_Servicios!$A$4:$A$24,0))</f>
        <v>Cálculo de planillas y cargas sociales (CCSS/INS)</v>
      </c>
      <c r="F224" s="14">
        <v>6.5</v>
      </c>
      <c r="G224" s="15">
        <f>Parametros!$B$4</f>
        <v>28681</v>
      </c>
      <c r="H224" s="14">
        <f>INDEX(Clientes!$E$4:$E$15,MATCH(B224,Clientes!$A$4:$A$15,0))</f>
        <v>1</v>
      </c>
      <c r="I224" s="15">
        <f t="shared" si="3"/>
        <v>186427</v>
      </c>
    </row>
    <row r="225" spans="1:9" x14ac:dyDescent="0.3">
      <c r="A225" s="13">
        <v>45536</v>
      </c>
      <c r="B225" t="s">
        <v>29</v>
      </c>
      <c r="C225" t="s">
        <v>64</v>
      </c>
      <c r="D225" t="str">
        <f>INDEX(Clientes!$B$4:$B$15,MATCH(B225,Clientes!$A$4:$A$15,0))</f>
        <v>Distribuidora Los Andes S.A.</v>
      </c>
      <c r="E225" t="str">
        <f>INDEX(Catalogo_Servicios!$C$4:$C$24,MATCH(C225,Catalogo_Servicios!$A$4:$A$24,0))</f>
        <v>Estados financieros mensuales</v>
      </c>
      <c r="F225" s="14">
        <v>3</v>
      </c>
      <c r="G225" s="15">
        <f>Parametros!$B$4</f>
        <v>28681</v>
      </c>
      <c r="H225" s="14">
        <f>INDEX(Clientes!$E$4:$E$15,MATCH(B225,Clientes!$A$4:$A$15,0))</f>
        <v>1</v>
      </c>
      <c r="I225" s="15">
        <f t="shared" si="3"/>
        <v>86043</v>
      </c>
    </row>
    <row r="226" spans="1:9" x14ac:dyDescent="0.3">
      <c r="A226" s="13">
        <v>45536</v>
      </c>
      <c r="B226" t="s">
        <v>29</v>
      </c>
      <c r="C226" t="s">
        <v>65</v>
      </c>
      <c r="D226" t="str">
        <f>INDEX(Clientes!$B$4:$B$15,MATCH(B226,Clientes!$A$4:$A$15,0))</f>
        <v>Distribuidora Los Andes S.A.</v>
      </c>
      <c r="E226" t="str">
        <f>INDEX(Catalogo_Servicios!$C$4:$C$24,MATCH(C226,Catalogo_Servicios!$A$4:$A$24,0))</f>
        <v>Declaración mensual de IVA (D-104)</v>
      </c>
      <c r="F226" s="14">
        <v>0.75</v>
      </c>
      <c r="G226" s="15">
        <f>Parametros!$B$4</f>
        <v>28681</v>
      </c>
      <c r="H226" s="14">
        <f>INDEX(Clientes!$E$4:$E$15,MATCH(B226,Clientes!$A$4:$A$15,0))</f>
        <v>1</v>
      </c>
      <c r="I226" s="15">
        <f t="shared" si="3"/>
        <v>21511</v>
      </c>
    </row>
    <row r="227" spans="1:9" x14ac:dyDescent="0.3">
      <c r="A227" s="13">
        <v>45536</v>
      </c>
      <c r="B227" t="s">
        <v>29</v>
      </c>
      <c r="C227" t="s">
        <v>66</v>
      </c>
      <c r="D227" t="str">
        <f>INDEX(Clientes!$B$4:$B$15,MATCH(B227,Clientes!$A$4:$A$15,0))</f>
        <v>Distribuidora Los Andes S.A.</v>
      </c>
      <c r="E227" t="str">
        <f>INDEX(Catalogo_Servicios!$C$4:$C$24,MATCH(C227,Catalogo_Servicios!$A$4:$A$24,0))</f>
        <v>Declaración mensual de retenciones (D-103)</v>
      </c>
      <c r="F227" s="14">
        <v>0.25</v>
      </c>
      <c r="G227" s="15">
        <f>Parametros!$B$4</f>
        <v>28681</v>
      </c>
      <c r="H227" s="14">
        <f>INDEX(Clientes!$E$4:$E$15,MATCH(B227,Clientes!$A$4:$A$15,0))</f>
        <v>1</v>
      </c>
      <c r="I227" s="15">
        <f t="shared" si="3"/>
        <v>7170</v>
      </c>
    </row>
    <row r="228" spans="1:9" x14ac:dyDescent="0.3">
      <c r="A228" s="13">
        <v>45536</v>
      </c>
      <c r="B228" t="s">
        <v>29</v>
      </c>
      <c r="C228" t="s">
        <v>67</v>
      </c>
      <c r="D228" t="str">
        <f>INDEX(Clientes!$B$4:$B$15,MATCH(B228,Clientes!$A$4:$A$15,0))</f>
        <v>Distribuidora Los Andes S.A.</v>
      </c>
      <c r="E228" t="str">
        <f>INDEX(Catalogo_Servicios!$C$4:$C$24,MATCH(C228,Catalogo_Servicios!$A$4:$A$24,0))</f>
        <v>Cálculo de planillas y cargas sociales (CCSS/INS)</v>
      </c>
      <c r="F228" s="14">
        <v>20</v>
      </c>
      <c r="G228" s="15">
        <f>Parametros!$B$4</f>
        <v>28681</v>
      </c>
      <c r="H228" s="14">
        <f>INDEX(Clientes!$E$4:$E$15,MATCH(B228,Clientes!$A$4:$A$15,0))</f>
        <v>1</v>
      </c>
      <c r="I228" s="15">
        <f t="shared" si="3"/>
        <v>573620</v>
      </c>
    </row>
    <row r="229" spans="1:9" x14ac:dyDescent="0.3">
      <c r="A229" s="13">
        <v>45536</v>
      </c>
      <c r="B229" t="s">
        <v>30</v>
      </c>
      <c r="C229" t="s">
        <v>64</v>
      </c>
      <c r="D229" t="str">
        <f>INDEX(Clientes!$B$4:$B$15,MATCH(B229,Clientes!$A$4:$A$15,0))</f>
        <v>Ferretería El Tornillo</v>
      </c>
      <c r="E229" t="str">
        <f>INDEX(Catalogo_Servicios!$C$4:$C$24,MATCH(C229,Catalogo_Servicios!$A$4:$A$24,0))</f>
        <v>Estados financieros mensuales</v>
      </c>
      <c r="F229" s="14">
        <v>3</v>
      </c>
      <c r="G229" s="15">
        <f>Parametros!$B$4</f>
        <v>28681</v>
      </c>
      <c r="H229" s="14">
        <f>INDEX(Clientes!$E$4:$E$15,MATCH(B229,Clientes!$A$4:$A$15,0))</f>
        <v>1</v>
      </c>
      <c r="I229" s="15">
        <f t="shared" si="3"/>
        <v>86043</v>
      </c>
    </row>
    <row r="230" spans="1:9" x14ac:dyDescent="0.3">
      <c r="A230" s="13">
        <v>45536</v>
      </c>
      <c r="B230" t="s">
        <v>30</v>
      </c>
      <c r="C230" t="s">
        <v>65</v>
      </c>
      <c r="D230" t="str">
        <f>INDEX(Clientes!$B$4:$B$15,MATCH(B230,Clientes!$A$4:$A$15,0))</f>
        <v>Ferretería El Tornillo</v>
      </c>
      <c r="E230" t="str">
        <f>INDEX(Catalogo_Servicios!$C$4:$C$24,MATCH(C230,Catalogo_Servicios!$A$4:$A$24,0))</f>
        <v>Declaración mensual de IVA (D-104)</v>
      </c>
      <c r="F230" s="14">
        <v>0.75</v>
      </c>
      <c r="G230" s="15">
        <f>Parametros!$B$4</f>
        <v>28681</v>
      </c>
      <c r="H230" s="14">
        <f>INDEX(Clientes!$E$4:$E$15,MATCH(B230,Clientes!$A$4:$A$15,0))</f>
        <v>1</v>
      </c>
      <c r="I230" s="15">
        <f t="shared" si="3"/>
        <v>21511</v>
      </c>
    </row>
    <row r="231" spans="1:9" x14ac:dyDescent="0.3">
      <c r="A231" s="13">
        <v>45536</v>
      </c>
      <c r="B231" t="s">
        <v>30</v>
      </c>
      <c r="C231" t="s">
        <v>66</v>
      </c>
      <c r="D231" t="str">
        <f>INDEX(Clientes!$B$4:$B$15,MATCH(B231,Clientes!$A$4:$A$15,0))</f>
        <v>Ferretería El Tornillo</v>
      </c>
      <c r="E231" t="str">
        <f>INDEX(Catalogo_Servicios!$C$4:$C$24,MATCH(C231,Catalogo_Servicios!$A$4:$A$24,0))</f>
        <v>Declaración mensual de retenciones (D-103)</v>
      </c>
      <c r="F231" s="14">
        <v>0.25</v>
      </c>
      <c r="G231" s="15">
        <f>Parametros!$B$4</f>
        <v>28681</v>
      </c>
      <c r="H231" s="14">
        <f>INDEX(Clientes!$E$4:$E$15,MATCH(B231,Clientes!$A$4:$A$15,0))</f>
        <v>1</v>
      </c>
      <c r="I231" s="15">
        <f t="shared" si="3"/>
        <v>7170</v>
      </c>
    </row>
    <row r="232" spans="1:9" x14ac:dyDescent="0.3">
      <c r="A232" s="13">
        <v>45536</v>
      </c>
      <c r="B232" t="s">
        <v>31</v>
      </c>
      <c r="C232" t="s">
        <v>65</v>
      </c>
      <c r="D232" t="str">
        <f>INDEX(Clientes!$B$4:$B$15,MATCH(B232,Clientes!$A$4:$A$15,0))</f>
        <v>Clínica Dental Sonrisa</v>
      </c>
      <c r="E232" t="str">
        <f>INDEX(Catalogo_Servicios!$C$4:$C$24,MATCH(C232,Catalogo_Servicios!$A$4:$A$24,0))</f>
        <v>Declaración mensual de IVA (D-104)</v>
      </c>
      <c r="F232" s="14">
        <v>0.75</v>
      </c>
      <c r="G232" s="15">
        <f>Parametros!$B$4</f>
        <v>28681</v>
      </c>
      <c r="H232" s="14">
        <f>INDEX(Clientes!$E$4:$E$15,MATCH(B232,Clientes!$A$4:$A$15,0))</f>
        <v>1.1000000000000001</v>
      </c>
      <c r="I232" s="15">
        <f t="shared" si="3"/>
        <v>23662</v>
      </c>
    </row>
    <row r="233" spans="1:9" x14ac:dyDescent="0.3">
      <c r="A233" s="13">
        <v>45536</v>
      </c>
      <c r="B233" t="s">
        <v>32</v>
      </c>
      <c r="C233" t="s">
        <v>65</v>
      </c>
      <c r="D233" t="str">
        <f>INDEX(Clientes!$B$4:$B$15,MATCH(B233,Clientes!$A$4:$A$15,0))</f>
        <v>Soda y Restaurante Doña Lela</v>
      </c>
      <c r="E233" t="str">
        <f>INDEX(Catalogo_Servicios!$C$4:$C$24,MATCH(C233,Catalogo_Servicios!$A$4:$A$24,0))</f>
        <v>Declaración mensual de IVA (D-104)</v>
      </c>
      <c r="F233" s="14">
        <v>0.75</v>
      </c>
      <c r="G233" s="15">
        <f>Parametros!$B$4</f>
        <v>28681</v>
      </c>
      <c r="H233" s="14">
        <f>INDEX(Clientes!$E$4:$E$15,MATCH(B233,Clientes!$A$4:$A$15,0))</f>
        <v>1</v>
      </c>
      <c r="I233" s="15">
        <f t="shared" si="3"/>
        <v>21511</v>
      </c>
    </row>
    <row r="234" spans="1:9" x14ac:dyDescent="0.3">
      <c r="A234" s="13">
        <v>45536</v>
      </c>
      <c r="B234" t="s">
        <v>33</v>
      </c>
      <c r="C234" t="s">
        <v>65</v>
      </c>
      <c r="D234" t="str">
        <f>INDEX(Clientes!$B$4:$B$15,MATCH(B234,Clientes!$A$4:$A$15,0))</f>
        <v>Transportes Rápidos del Valle</v>
      </c>
      <c r="E234" t="str">
        <f>INDEX(Catalogo_Servicios!$C$4:$C$24,MATCH(C234,Catalogo_Servicios!$A$4:$A$24,0))</f>
        <v>Declaración mensual de IVA (D-104)</v>
      </c>
      <c r="F234" s="14">
        <v>0.75</v>
      </c>
      <c r="G234" s="15">
        <f>Parametros!$B$4</f>
        <v>28681</v>
      </c>
      <c r="H234" s="14">
        <f>INDEX(Clientes!$E$4:$E$15,MATCH(B234,Clientes!$A$4:$A$15,0))</f>
        <v>1</v>
      </c>
      <c r="I234" s="15">
        <f t="shared" si="3"/>
        <v>21511</v>
      </c>
    </row>
    <row r="235" spans="1:9" x14ac:dyDescent="0.3">
      <c r="A235" s="13">
        <v>45536</v>
      </c>
      <c r="B235" t="s">
        <v>33</v>
      </c>
      <c r="C235" t="s">
        <v>66</v>
      </c>
      <c r="D235" t="str">
        <f>INDEX(Clientes!$B$4:$B$15,MATCH(B235,Clientes!$A$4:$A$15,0))</f>
        <v>Transportes Rápidos del Valle</v>
      </c>
      <c r="E235" t="str">
        <f>INDEX(Catalogo_Servicios!$C$4:$C$24,MATCH(C235,Catalogo_Servicios!$A$4:$A$24,0))</f>
        <v>Declaración mensual de retenciones (D-103)</v>
      </c>
      <c r="F235" s="14">
        <v>0.25</v>
      </c>
      <c r="G235" s="15">
        <f>Parametros!$B$4</f>
        <v>28681</v>
      </c>
      <c r="H235" s="14">
        <f>INDEX(Clientes!$E$4:$E$15,MATCH(B235,Clientes!$A$4:$A$15,0))</f>
        <v>1</v>
      </c>
      <c r="I235" s="15">
        <f t="shared" si="3"/>
        <v>7170</v>
      </c>
    </row>
    <row r="236" spans="1:9" x14ac:dyDescent="0.3">
      <c r="A236" s="13">
        <v>45536</v>
      </c>
      <c r="B236" t="s">
        <v>33</v>
      </c>
      <c r="C236" t="s">
        <v>67</v>
      </c>
      <c r="D236" t="str">
        <f>INDEX(Clientes!$B$4:$B$15,MATCH(B236,Clientes!$A$4:$A$15,0))</f>
        <v>Transportes Rápidos del Valle</v>
      </c>
      <c r="E236" t="str">
        <f>INDEX(Catalogo_Servicios!$C$4:$C$24,MATCH(C236,Catalogo_Servicios!$A$4:$A$24,0))</f>
        <v>Cálculo de planillas y cargas sociales (CCSS/INS)</v>
      </c>
      <c r="F236" s="14">
        <v>5.5</v>
      </c>
      <c r="G236" s="15">
        <f>Parametros!$B$4</f>
        <v>28681</v>
      </c>
      <c r="H236" s="14">
        <f>INDEX(Clientes!$E$4:$E$15,MATCH(B236,Clientes!$A$4:$A$15,0))</f>
        <v>1</v>
      </c>
      <c r="I236" s="15">
        <f t="shared" si="3"/>
        <v>157746</v>
      </c>
    </row>
    <row r="237" spans="1:9" x14ac:dyDescent="0.3">
      <c r="A237" s="13">
        <v>45536</v>
      </c>
      <c r="B237" t="s">
        <v>35</v>
      </c>
      <c r="C237" t="s">
        <v>65</v>
      </c>
      <c r="D237" t="str">
        <f>INDEX(Clientes!$B$4:$B$15,MATCH(B237,Clientes!$A$4:$A$15,0))</f>
        <v>Taller Mecánico Hermanos Mora</v>
      </c>
      <c r="E237" t="str">
        <f>INDEX(Catalogo_Servicios!$C$4:$C$24,MATCH(C237,Catalogo_Servicios!$A$4:$A$24,0))</f>
        <v>Declaración mensual de IVA (D-104)</v>
      </c>
      <c r="F237" s="14">
        <v>0.75</v>
      </c>
      <c r="G237" s="15">
        <f>Parametros!$B$4</f>
        <v>28681</v>
      </c>
      <c r="H237" s="14">
        <f>INDEX(Clientes!$E$4:$E$15,MATCH(B237,Clientes!$A$4:$A$15,0))</f>
        <v>1</v>
      </c>
      <c r="I237" s="15">
        <f t="shared" si="3"/>
        <v>21511</v>
      </c>
    </row>
    <row r="238" spans="1:9" x14ac:dyDescent="0.3">
      <c r="A238" s="13">
        <v>45536</v>
      </c>
      <c r="B238" t="s">
        <v>36</v>
      </c>
      <c r="C238" t="s">
        <v>65</v>
      </c>
      <c r="D238" t="str">
        <f>INDEX(Clientes!$B$4:$B$15,MATCH(B238,Clientes!$A$4:$A$15,0))</f>
        <v>Agroservicios Cartago</v>
      </c>
      <c r="E238" t="str">
        <f>INDEX(Catalogo_Servicios!$C$4:$C$24,MATCH(C238,Catalogo_Servicios!$A$4:$A$24,0))</f>
        <v>Declaración mensual de IVA (D-104)</v>
      </c>
      <c r="F238" s="14">
        <v>0.75</v>
      </c>
      <c r="G238" s="15">
        <f>Parametros!$B$4</f>
        <v>28681</v>
      </c>
      <c r="H238" s="14">
        <f>INDEX(Clientes!$E$4:$E$15,MATCH(B238,Clientes!$A$4:$A$15,0))</f>
        <v>1</v>
      </c>
      <c r="I238" s="15">
        <f t="shared" si="3"/>
        <v>21511</v>
      </c>
    </row>
    <row r="239" spans="1:9" x14ac:dyDescent="0.3">
      <c r="A239" s="13">
        <v>45536</v>
      </c>
      <c r="B239" t="s">
        <v>36</v>
      </c>
      <c r="C239" t="s">
        <v>66</v>
      </c>
      <c r="D239" t="str">
        <f>INDEX(Clientes!$B$4:$B$15,MATCH(B239,Clientes!$A$4:$A$15,0))</f>
        <v>Agroservicios Cartago</v>
      </c>
      <c r="E239" t="str">
        <f>INDEX(Catalogo_Servicios!$C$4:$C$24,MATCH(C239,Catalogo_Servicios!$A$4:$A$24,0))</f>
        <v>Declaración mensual de retenciones (D-103)</v>
      </c>
      <c r="F239" s="14">
        <v>0.25</v>
      </c>
      <c r="G239" s="15">
        <f>Parametros!$B$4</f>
        <v>28681</v>
      </c>
      <c r="H239" s="14">
        <f>INDEX(Clientes!$E$4:$E$15,MATCH(B239,Clientes!$A$4:$A$15,0))</f>
        <v>1</v>
      </c>
      <c r="I239" s="15">
        <f t="shared" si="3"/>
        <v>7170</v>
      </c>
    </row>
    <row r="240" spans="1:9" x14ac:dyDescent="0.3">
      <c r="A240" s="13">
        <v>45536</v>
      </c>
      <c r="B240" t="s">
        <v>38</v>
      </c>
      <c r="C240" t="s">
        <v>65</v>
      </c>
      <c r="D240" t="str">
        <f>INDEX(Clientes!$B$4:$B$15,MATCH(B240,Clientes!$A$4:$A$15,0))</f>
        <v>Panadería La Espiga</v>
      </c>
      <c r="E240" t="str">
        <f>INDEX(Catalogo_Servicios!$C$4:$C$24,MATCH(C240,Catalogo_Servicios!$A$4:$A$24,0))</f>
        <v>Declaración mensual de IVA (D-104)</v>
      </c>
      <c r="F240" s="14">
        <v>0.75</v>
      </c>
      <c r="G240" s="15">
        <f>Parametros!$B$4</f>
        <v>28681</v>
      </c>
      <c r="H240" s="14">
        <f>INDEX(Clientes!$E$4:$E$15,MATCH(B240,Clientes!$A$4:$A$15,0))</f>
        <v>1</v>
      </c>
      <c r="I240" s="15">
        <f t="shared" si="3"/>
        <v>21511</v>
      </c>
    </row>
    <row r="241" spans="1:9" x14ac:dyDescent="0.3">
      <c r="A241" s="13">
        <v>45536</v>
      </c>
      <c r="B241" t="s">
        <v>38</v>
      </c>
      <c r="C241" t="s">
        <v>67</v>
      </c>
      <c r="D241" t="str">
        <f>INDEX(Clientes!$B$4:$B$15,MATCH(B241,Clientes!$A$4:$A$15,0))</f>
        <v>Panadería La Espiga</v>
      </c>
      <c r="E241" t="str">
        <f>INDEX(Catalogo_Servicios!$C$4:$C$24,MATCH(C241,Catalogo_Servicios!$A$4:$A$24,0))</f>
        <v>Cálculo de planillas y cargas sociales (CCSS/INS)</v>
      </c>
      <c r="F241" s="14">
        <v>7</v>
      </c>
      <c r="G241" s="15">
        <f>Parametros!$B$4</f>
        <v>28681</v>
      </c>
      <c r="H241" s="14">
        <f>INDEX(Clientes!$E$4:$E$15,MATCH(B241,Clientes!$A$4:$A$15,0))</f>
        <v>1</v>
      </c>
      <c r="I241" s="15">
        <f t="shared" si="3"/>
        <v>200767</v>
      </c>
    </row>
    <row r="242" spans="1:9" x14ac:dyDescent="0.3">
      <c r="A242" s="13">
        <v>45566</v>
      </c>
      <c r="B242" t="s">
        <v>29</v>
      </c>
      <c r="C242" t="s">
        <v>64</v>
      </c>
      <c r="D242" t="str">
        <f>INDEX(Clientes!$B$4:$B$15,MATCH(B242,Clientes!$A$4:$A$15,0))</f>
        <v>Distribuidora Los Andes S.A.</v>
      </c>
      <c r="E242" t="str">
        <f>INDEX(Catalogo_Servicios!$C$4:$C$24,MATCH(C242,Catalogo_Servicios!$A$4:$A$24,0))</f>
        <v>Estados financieros mensuales</v>
      </c>
      <c r="F242" s="14">
        <v>3</v>
      </c>
      <c r="G242" s="15">
        <f>Parametros!$B$4</f>
        <v>28681</v>
      </c>
      <c r="H242" s="14">
        <f>INDEX(Clientes!$E$4:$E$15,MATCH(B242,Clientes!$A$4:$A$15,0))</f>
        <v>1</v>
      </c>
      <c r="I242" s="15">
        <f t="shared" si="3"/>
        <v>86043</v>
      </c>
    </row>
    <row r="243" spans="1:9" x14ac:dyDescent="0.3">
      <c r="A243" s="13">
        <v>45566</v>
      </c>
      <c r="B243" t="s">
        <v>29</v>
      </c>
      <c r="C243" t="s">
        <v>65</v>
      </c>
      <c r="D243" t="str">
        <f>INDEX(Clientes!$B$4:$B$15,MATCH(B243,Clientes!$A$4:$A$15,0))</f>
        <v>Distribuidora Los Andes S.A.</v>
      </c>
      <c r="E243" t="str">
        <f>INDEX(Catalogo_Servicios!$C$4:$C$24,MATCH(C243,Catalogo_Servicios!$A$4:$A$24,0))</f>
        <v>Declaración mensual de IVA (D-104)</v>
      </c>
      <c r="F243" s="14">
        <v>0.75</v>
      </c>
      <c r="G243" s="15">
        <f>Parametros!$B$4</f>
        <v>28681</v>
      </c>
      <c r="H243" s="14">
        <f>INDEX(Clientes!$E$4:$E$15,MATCH(B243,Clientes!$A$4:$A$15,0))</f>
        <v>1</v>
      </c>
      <c r="I243" s="15">
        <f t="shared" si="3"/>
        <v>21511</v>
      </c>
    </row>
    <row r="244" spans="1:9" x14ac:dyDescent="0.3">
      <c r="A244" s="13">
        <v>45566</v>
      </c>
      <c r="B244" t="s">
        <v>29</v>
      </c>
      <c r="C244" t="s">
        <v>66</v>
      </c>
      <c r="D244" t="str">
        <f>INDEX(Clientes!$B$4:$B$15,MATCH(B244,Clientes!$A$4:$A$15,0))</f>
        <v>Distribuidora Los Andes S.A.</v>
      </c>
      <c r="E244" t="str">
        <f>INDEX(Catalogo_Servicios!$C$4:$C$24,MATCH(C244,Catalogo_Servicios!$A$4:$A$24,0))</f>
        <v>Declaración mensual de retenciones (D-103)</v>
      </c>
      <c r="F244" s="14">
        <v>0.25</v>
      </c>
      <c r="G244" s="15">
        <f>Parametros!$B$4</f>
        <v>28681</v>
      </c>
      <c r="H244" s="14">
        <f>INDEX(Clientes!$E$4:$E$15,MATCH(B244,Clientes!$A$4:$A$15,0))</f>
        <v>1</v>
      </c>
      <c r="I244" s="15">
        <f t="shared" si="3"/>
        <v>7170</v>
      </c>
    </row>
    <row r="245" spans="1:9" x14ac:dyDescent="0.3">
      <c r="A245" s="13">
        <v>45566</v>
      </c>
      <c r="B245" t="s">
        <v>29</v>
      </c>
      <c r="C245" t="s">
        <v>67</v>
      </c>
      <c r="D245" t="str">
        <f>INDEX(Clientes!$B$4:$B$15,MATCH(B245,Clientes!$A$4:$A$15,0))</f>
        <v>Distribuidora Los Andes S.A.</v>
      </c>
      <c r="E245" t="str">
        <f>INDEX(Catalogo_Servicios!$C$4:$C$24,MATCH(C245,Catalogo_Servicios!$A$4:$A$24,0))</f>
        <v>Cálculo de planillas y cargas sociales (CCSS/INS)</v>
      </c>
      <c r="F245" s="14">
        <v>20.5</v>
      </c>
      <c r="G245" s="15">
        <f>Parametros!$B$4</f>
        <v>28681</v>
      </c>
      <c r="H245" s="14">
        <f>INDEX(Clientes!$E$4:$E$15,MATCH(B245,Clientes!$A$4:$A$15,0))</f>
        <v>1</v>
      </c>
      <c r="I245" s="15">
        <f t="shared" si="3"/>
        <v>587961</v>
      </c>
    </row>
    <row r="246" spans="1:9" x14ac:dyDescent="0.3">
      <c r="A246" s="13">
        <v>45566</v>
      </c>
      <c r="B246" t="s">
        <v>30</v>
      </c>
      <c r="C246" t="s">
        <v>64</v>
      </c>
      <c r="D246" t="str">
        <f>INDEX(Clientes!$B$4:$B$15,MATCH(B246,Clientes!$A$4:$A$15,0))</f>
        <v>Ferretería El Tornillo</v>
      </c>
      <c r="E246" t="str">
        <f>INDEX(Catalogo_Servicios!$C$4:$C$24,MATCH(C246,Catalogo_Servicios!$A$4:$A$24,0))</f>
        <v>Estados financieros mensuales</v>
      </c>
      <c r="F246" s="14">
        <v>3.5</v>
      </c>
      <c r="G246" s="15">
        <f>Parametros!$B$4</f>
        <v>28681</v>
      </c>
      <c r="H246" s="14">
        <f>INDEX(Clientes!$E$4:$E$15,MATCH(B246,Clientes!$A$4:$A$15,0))</f>
        <v>1</v>
      </c>
      <c r="I246" s="15">
        <f t="shared" si="3"/>
        <v>100384</v>
      </c>
    </row>
    <row r="247" spans="1:9" x14ac:dyDescent="0.3">
      <c r="A247" s="13">
        <v>45566</v>
      </c>
      <c r="B247" t="s">
        <v>30</v>
      </c>
      <c r="C247" t="s">
        <v>65</v>
      </c>
      <c r="D247" t="str">
        <f>INDEX(Clientes!$B$4:$B$15,MATCH(B247,Clientes!$A$4:$A$15,0))</f>
        <v>Ferretería El Tornillo</v>
      </c>
      <c r="E247" t="str">
        <f>INDEX(Catalogo_Servicios!$C$4:$C$24,MATCH(C247,Catalogo_Servicios!$A$4:$A$24,0))</f>
        <v>Declaración mensual de IVA (D-104)</v>
      </c>
      <c r="F247" s="14">
        <v>0.75</v>
      </c>
      <c r="G247" s="15">
        <f>Parametros!$B$4</f>
        <v>28681</v>
      </c>
      <c r="H247" s="14">
        <f>INDEX(Clientes!$E$4:$E$15,MATCH(B247,Clientes!$A$4:$A$15,0))</f>
        <v>1</v>
      </c>
      <c r="I247" s="15">
        <f t="shared" si="3"/>
        <v>21511</v>
      </c>
    </row>
    <row r="248" spans="1:9" x14ac:dyDescent="0.3">
      <c r="A248" s="13">
        <v>45566</v>
      </c>
      <c r="B248" t="s">
        <v>30</v>
      </c>
      <c r="C248" t="s">
        <v>66</v>
      </c>
      <c r="D248" t="str">
        <f>INDEX(Clientes!$B$4:$B$15,MATCH(B248,Clientes!$A$4:$A$15,0))</f>
        <v>Ferretería El Tornillo</v>
      </c>
      <c r="E248" t="str">
        <f>INDEX(Catalogo_Servicios!$C$4:$C$24,MATCH(C248,Catalogo_Servicios!$A$4:$A$24,0))</f>
        <v>Declaración mensual de retenciones (D-103)</v>
      </c>
      <c r="F248" s="14">
        <v>0.25</v>
      </c>
      <c r="G248" s="15">
        <f>Parametros!$B$4</f>
        <v>28681</v>
      </c>
      <c r="H248" s="14">
        <f>INDEX(Clientes!$E$4:$E$15,MATCH(B248,Clientes!$A$4:$A$15,0))</f>
        <v>1</v>
      </c>
      <c r="I248" s="15">
        <f t="shared" si="3"/>
        <v>7170</v>
      </c>
    </row>
    <row r="249" spans="1:9" x14ac:dyDescent="0.3">
      <c r="A249" s="13">
        <v>45566</v>
      </c>
      <c r="B249" t="s">
        <v>31</v>
      </c>
      <c r="C249" t="s">
        <v>65</v>
      </c>
      <c r="D249" t="str">
        <f>INDEX(Clientes!$B$4:$B$15,MATCH(B249,Clientes!$A$4:$A$15,0))</f>
        <v>Clínica Dental Sonrisa</v>
      </c>
      <c r="E249" t="str">
        <f>INDEX(Catalogo_Servicios!$C$4:$C$24,MATCH(C249,Catalogo_Servicios!$A$4:$A$24,0))</f>
        <v>Declaración mensual de IVA (D-104)</v>
      </c>
      <c r="F249" s="14">
        <v>0.75</v>
      </c>
      <c r="G249" s="15">
        <f>Parametros!$B$4</f>
        <v>28681</v>
      </c>
      <c r="H249" s="14">
        <f>INDEX(Clientes!$E$4:$E$15,MATCH(B249,Clientes!$A$4:$A$15,0))</f>
        <v>1.1000000000000001</v>
      </c>
      <c r="I249" s="15">
        <f t="shared" si="3"/>
        <v>23662</v>
      </c>
    </row>
    <row r="250" spans="1:9" x14ac:dyDescent="0.3">
      <c r="A250" s="13">
        <v>45566</v>
      </c>
      <c r="B250" t="s">
        <v>32</v>
      </c>
      <c r="C250" t="s">
        <v>68</v>
      </c>
      <c r="D250" t="str">
        <f>INDEX(Clientes!$B$4:$B$15,MATCH(B250,Clientes!$A$4:$A$15,0))</f>
        <v>Soda y Restaurante Doña Lela</v>
      </c>
      <c r="E250" t="str">
        <f>INDEX(Catalogo_Servicios!$C$4:$C$24,MATCH(C250,Catalogo_Servicios!$A$4:$A$24,0))</f>
        <v>Asesoría contable, financiera y tributaria</v>
      </c>
      <c r="F250" s="14">
        <v>2</v>
      </c>
      <c r="G250" s="15">
        <f>Parametros!$B$4</f>
        <v>28681</v>
      </c>
      <c r="H250" s="14">
        <f>INDEX(Clientes!$E$4:$E$15,MATCH(B250,Clientes!$A$4:$A$15,0))</f>
        <v>1</v>
      </c>
      <c r="I250" s="15">
        <f t="shared" si="3"/>
        <v>57362</v>
      </c>
    </row>
    <row r="251" spans="1:9" x14ac:dyDescent="0.3">
      <c r="A251" s="13">
        <v>45566</v>
      </c>
      <c r="B251" t="s">
        <v>32</v>
      </c>
      <c r="C251" t="s">
        <v>65</v>
      </c>
      <c r="D251" t="str">
        <f>INDEX(Clientes!$B$4:$B$15,MATCH(B251,Clientes!$A$4:$A$15,0))</f>
        <v>Soda y Restaurante Doña Lela</v>
      </c>
      <c r="E251" t="str">
        <f>INDEX(Catalogo_Servicios!$C$4:$C$24,MATCH(C251,Catalogo_Servicios!$A$4:$A$24,0))</f>
        <v>Declaración mensual de IVA (D-104)</v>
      </c>
      <c r="F251" s="14">
        <v>0.75</v>
      </c>
      <c r="G251" s="15">
        <f>Parametros!$B$4</f>
        <v>28681</v>
      </c>
      <c r="H251" s="14">
        <f>INDEX(Clientes!$E$4:$E$15,MATCH(B251,Clientes!$A$4:$A$15,0))</f>
        <v>1</v>
      </c>
      <c r="I251" s="15">
        <f t="shared" si="3"/>
        <v>21511</v>
      </c>
    </row>
    <row r="252" spans="1:9" x14ac:dyDescent="0.3">
      <c r="A252" s="13">
        <v>45566</v>
      </c>
      <c r="B252" t="s">
        <v>33</v>
      </c>
      <c r="C252" t="s">
        <v>65</v>
      </c>
      <c r="D252" t="str">
        <f>INDEX(Clientes!$B$4:$B$15,MATCH(B252,Clientes!$A$4:$A$15,0))</f>
        <v>Transportes Rápidos del Valle</v>
      </c>
      <c r="E252" t="str">
        <f>INDEX(Catalogo_Servicios!$C$4:$C$24,MATCH(C252,Catalogo_Servicios!$A$4:$A$24,0))</f>
        <v>Declaración mensual de IVA (D-104)</v>
      </c>
      <c r="F252" s="14">
        <v>0.75</v>
      </c>
      <c r="G252" s="15">
        <f>Parametros!$B$4</f>
        <v>28681</v>
      </c>
      <c r="H252" s="14">
        <f>INDEX(Clientes!$E$4:$E$15,MATCH(B252,Clientes!$A$4:$A$15,0))</f>
        <v>1</v>
      </c>
      <c r="I252" s="15">
        <f t="shared" si="3"/>
        <v>21511</v>
      </c>
    </row>
    <row r="253" spans="1:9" x14ac:dyDescent="0.3">
      <c r="A253" s="13">
        <v>45566</v>
      </c>
      <c r="B253" t="s">
        <v>33</v>
      </c>
      <c r="C253" t="s">
        <v>66</v>
      </c>
      <c r="D253" t="str">
        <f>INDEX(Clientes!$B$4:$B$15,MATCH(B253,Clientes!$A$4:$A$15,0))</f>
        <v>Transportes Rápidos del Valle</v>
      </c>
      <c r="E253" t="str">
        <f>INDEX(Catalogo_Servicios!$C$4:$C$24,MATCH(C253,Catalogo_Servicios!$A$4:$A$24,0))</f>
        <v>Declaración mensual de retenciones (D-103)</v>
      </c>
      <c r="F253" s="14">
        <v>0.25</v>
      </c>
      <c r="G253" s="15">
        <f>Parametros!$B$4</f>
        <v>28681</v>
      </c>
      <c r="H253" s="14">
        <f>INDEX(Clientes!$E$4:$E$15,MATCH(B253,Clientes!$A$4:$A$15,0))</f>
        <v>1</v>
      </c>
      <c r="I253" s="15">
        <f t="shared" si="3"/>
        <v>7170</v>
      </c>
    </row>
    <row r="254" spans="1:9" x14ac:dyDescent="0.3">
      <c r="A254" s="13">
        <v>45566</v>
      </c>
      <c r="B254" t="s">
        <v>33</v>
      </c>
      <c r="C254" t="s">
        <v>67</v>
      </c>
      <c r="D254" t="str">
        <f>INDEX(Clientes!$B$4:$B$15,MATCH(B254,Clientes!$A$4:$A$15,0))</f>
        <v>Transportes Rápidos del Valle</v>
      </c>
      <c r="E254" t="str">
        <f>INDEX(Catalogo_Servicios!$C$4:$C$24,MATCH(C254,Catalogo_Servicios!$A$4:$A$24,0))</f>
        <v>Cálculo de planillas y cargas sociales (CCSS/INS)</v>
      </c>
      <c r="F254" s="14">
        <v>6</v>
      </c>
      <c r="G254" s="15">
        <f>Parametros!$B$4</f>
        <v>28681</v>
      </c>
      <c r="H254" s="14">
        <f>INDEX(Clientes!$E$4:$E$15,MATCH(B254,Clientes!$A$4:$A$15,0))</f>
        <v>1</v>
      </c>
      <c r="I254" s="15">
        <f t="shared" si="3"/>
        <v>172086</v>
      </c>
    </row>
    <row r="255" spans="1:9" x14ac:dyDescent="0.3">
      <c r="A255" s="13">
        <v>45566</v>
      </c>
      <c r="B255" t="s">
        <v>35</v>
      </c>
      <c r="C255" t="s">
        <v>65</v>
      </c>
      <c r="D255" t="str">
        <f>INDEX(Clientes!$B$4:$B$15,MATCH(B255,Clientes!$A$4:$A$15,0))</f>
        <v>Taller Mecánico Hermanos Mora</v>
      </c>
      <c r="E255" t="str">
        <f>INDEX(Catalogo_Servicios!$C$4:$C$24,MATCH(C255,Catalogo_Servicios!$A$4:$A$24,0))</f>
        <v>Declaración mensual de IVA (D-104)</v>
      </c>
      <c r="F255" s="14">
        <v>0.75</v>
      </c>
      <c r="G255" s="15">
        <f>Parametros!$B$4</f>
        <v>28681</v>
      </c>
      <c r="H255" s="14">
        <f>INDEX(Clientes!$E$4:$E$15,MATCH(B255,Clientes!$A$4:$A$15,0))</f>
        <v>1</v>
      </c>
      <c r="I255" s="15">
        <f t="shared" si="3"/>
        <v>21511</v>
      </c>
    </row>
    <row r="256" spans="1:9" x14ac:dyDescent="0.3">
      <c r="A256" s="13">
        <v>45566</v>
      </c>
      <c r="B256" t="s">
        <v>36</v>
      </c>
      <c r="C256" t="s">
        <v>65</v>
      </c>
      <c r="D256" t="str">
        <f>INDEX(Clientes!$B$4:$B$15,MATCH(B256,Clientes!$A$4:$A$15,0))</f>
        <v>Agroservicios Cartago</v>
      </c>
      <c r="E256" t="str">
        <f>INDEX(Catalogo_Servicios!$C$4:$C$24,MATCH(C256,Catalogo_Servicios!$A$4:$A$24,0))</f>
        <v>Declaración mensual de IVA (D-104)</v>
      </c>
      <c r="F256" s="14">
        <v>0.75</v>
      </c>
      <c r="G256" s="15">
        <f>Parametros!$B$4</f>
        <v>28681</v>
      </c>
      <c r="H256" s="14">
        <f>INDEX(Clientes!$E$4:$E$15,MATCH(B256,Clientes!$A$4:$A$15,0))</f>
        <v>1</v>
      </c>
      <c r="I256" s="15">
        <f t="shared" si="3"/>
        <v>21511</v>
      </c>
    </row>
    <row r="257" spans="1:9" x14ac:dyDescent="0.3">
      <c r="A257" s="13">
        <v>45566</v>
      </c>
      <c r="B257" t="s">
        <v>36</v>
      </c>
      <c r="C257" t="s">
        <v>66</v>
      </c>
      <c r="D257" t="str">
        <f>INDEX(Clientes!$B$4:$B$15,MATCH(B257,Clientes!$A$4:$A$15,0))</f>
        <v>Agroservicios Cartago</v>
      </c>
      <c r="E257" t="str">
        <f>INDEX(Catalogo_Servicios!$C$4:$C$24,MATCH(C257,Catalogo_Servicios!$A$4:$A$24,0))</f>
        <v>Declaración mensual de retenciones (D-103)</v>
      </c>
      <c r="F257" s="14">
        <v>0.25</v>
      </c>
      <c r="G257" s="15">
        <f>Parametros!$B$4</f>
        <v>28681</v>
      </c>
      <c r="H257" s="14">
        <f>INDEX(Clientes!$E$4:$E$15,MATCH(B257,Clientes!$A$4:$A$15,0))</f>
        <v>1</v>
      </c>
      <c r="I257" s="15">
        <f t="shared" si="3"/>
        <v>7170</v>
      </c>
    </row>
    <row r="258" spans="1:9" x14ac:dyDescent="0.3">
      <c r="A258" s="13">
        <v>45566</v>
      </c>
      <c r="B258" t="s">
        <v>38</v>
      </c>
      <c r="C258" t="s">
        <v>65</v>
      </c>
      <c r="D258" t="str">
        <f>INDEX(Clientes!$B$4:$B$15,MATCH(B258,Clientes!$A$4:$A$15,0))</f>
        <v>Panadería La Espiga</v>
      </c>
      <c r="E258" t="str">
        <f>INDEX(Catalogo_Servicios!$C$4:$C$24,MATCH(C258,Catalogo_Servicios!$A$4:$A$24,0))</f>
        <v>Declaración mensual de IVA (D-104)</v>
      </c>
      <c r="F258" s="14">
        <v>0.75</v>
      </c>
      <c r="G258" s="15">
        <f>Parametros!$B$4</f>
        <v>28681</v>
      </c>
      <c r="H258" s="14">
        <f>INDEX(Clientes!$E$4:$E$15,MATCH(B258,Clientes!$A$4:$A$15,0))</f>
        <v>1</v>
      </c>
      <c r="I258" s="15">
        <f t="shared" si="3"/>
        <v>21511</v>
      </c>
    </row>
    <row r="259" spans="1:9" x14ac:dyDescent="0.3">
      <c r="A259" s="13">
        <v>45566</v>
      </c>
      <c r="B259" t="s">
        <v>38</v>
      </c>
      <c r="C259" t="s">
        <v>67</v>
      </c>
      <c r="D259" t="str">
        <f>INDEX(Clientes!$B$4:$B$15,MATCH(B259,Clientes!$A$4:$A$15,0))</f>
        <v>Panadería La Espiga</v>
      </c>
      <c r="E259" t="str">
        <f>INDEX(Catalogo_Servicios!$C$4:$C$24,MATCH(C259,Catalogo_Servicios!$A$4:$A$24,0))</f>
        <v>Cálculo de planillas y cargas sociales (CCSS/INS)</v>
      </c>
      <c r="F259" s="14">
        <v>6.5</v>
      </c>
      <c r="G259" s="15">
        <f>Parametros!$B$4</f>
        <v>28681</v>
      </c>
      <c r="H259" s="14">
        <f>INDEX(Clientes!$E$4:$E$15,MATCH(B259,Clientes!$A$4:$A$15,0))</f>
        <v>1</v>
      </c>
      <c r="I259" s="15">
        <f t="shared" si="3"/>
        <v>186427</v>
      </c>
    </row>
    <row r="260" spans="1:9" x14ac:dyDescent="0.3">
      <c r="A260" s="13">
        <v>45597</v>
      </c>
      <c r="B260" t="s">
        <v>29</v>
      </c>
      <c r="C260" t="s">
        <v>64</v>
      </c>
      <c r="D260" t="str">
        <f>INDEX(Clientes!$B$4:$B$15,MATCH(B260,Clientes!$A$4:$A$15,0))</f>
        <v>Distribuidora Los Andes S.A.</v>
      </c>
      <c r="E260" t="str">
        <f>INDEX(Catalogo_Servicios!$C$4:$C$24,MATCH(C260,Catalogo_Servicios!$A$4:$A$24,0))</f>
        <v>Estados financieros mensuales</v>
      </c>
      <c r="F260" s="14">
        <v>3</v>
      </c>
      <c r="G260" s="15">
        <f>Parametros!$B$4</f>
        <v>28681</v>
      </c>
      <c r="H260" s="14">
        <f>INDEX(Clientes!$E$4:$E$15,MATCH(B260,Clientes!$A$4:$A$15,0))</f>
        <v>1</v>
      </c>
      <c r="I260" s="15">
        <f t="shared" ref="I260:I323" si="4">ROUND(F260*G260*H260,0)</f>
        <v>86043</v>
      </c>
    </row>
    <row r="261" spans="1:9" x14ac:dyDescent="0.3">
      <c r="A261" s="13">
        <v>45597</v>
      </c>
      <c r="B261" t="s">
        <v>29</v>
      </c>
      <c r="C261" t="s">
        <v>65</v>
      </c>
      <c r="D261" t="str">
        <f>INDEX(Clientes!$B$4:$B$15,MATCH(B261,Clientes!$A$4:$A$15,0))</f>
        <v>Distribuidora Los Andes S.A.</v>
      </c>
      <c r="E261" t="str">
        <f>INDEX(Catalogo_Servicios!$C$4:$C$24,MATCH(C261,Catalogo_Servicios!$A$4:$A$24,0))</f>
        <v>Declaración mensual de IVA (D-104)</v>
      </c>
      <c r="F261" s="14">
        <v>0.75</v>
      </c>
      <c r="G261" s="15">
        <f>Parametros!$B$4</f>
        <v>28681</v>
      </c>
      <c r="H261" s="14">
        <f>INDEX(Clientes!$E$4:$E$15,MATCH(B261,Clientes!$A$4:$A$15,0))</f>
        <v>1</v>
      </c>
      <c r="I261" s="15">
        <f t="shared" si="4"/>
        <v>21511</v>
      </c>
    </row>
    <row r="262" spans="1:9" x14ac:dyDescent="0.3">
      <c r="A262" s="13">
        <v>45597</v>
      </c>
      <c r="B262" t="s">
        <v>29</v>
      </c>
      <c r="C262" t="s">
        <v>66</v>
      </c>
      <c r="D262" t="str">
        <f>INDEX(Clientes!$B$4:$B$15,MATCH(B262,Clientes!$A$4:$A$15,0))</f>
        <v>Distribuidora Los Andes S.A.</v>
      </c>
      <c r="E262" t="str">
        <f>INDEX(Catalogo_Servicios!$C$4:$C$24,MATCH(C262,Catalogo_Servicios!$A$4:$A$24,0))</f>
        <v>Declaración mensual de retenciones (D-103)</v>
      </c>
      <c r="F262" s="14">
        <v>0.25</v>
      </c>
      <c r="G262" s="15">
        <f>Parametros!$B$4</f>
        <v>28681</v>
      </c>
      <c r="H262" s="14">
        <f>INDEX(Clientes!$E$4:$E$15,MATCH(B262,Clientes!$A$4:$A$15,0))</f>
        <v>1</v>
      </c>
      <c r="I262" s="15">
        <f t="shared" si="4"/>
        <v>7170</v>
      </c>
    </row>
    <row r="263" spans="1:9" x14ac:dyDescent="0.3">
      <c r="A263" s="13">
        <v>45597</v>
      </c>
      <c r="B263" t="s">
        <v>29</v>
      </c>
      <c r="C263" t="s">
        <v>67</v>
      </c>
      <c r="D263" t="str">
        <f>INDEX(Clientes!$B$4:$B$15,MATCH(B263,Clientes!$A$4:$A$15,0))</f>
        <v>Distribuidora Los Andes S.A.</v>
      </c>
      <c r="E263" t="str">
        <f>INDEX(Catalogo_Servicios!$C$4:$C$24,MATCH(C263,Catalogo_Servicios!$A$4:$A$24,0))</f>
        <v>Cálculo de planillas y cargas sociales (CCSS/INS)</v>
      </c>
      <c r="F263" s="14">
        <v>22.5</v>
      </c>
      <c r="G263" s="15">
        <f>Parametros!$B$4</f>
        <v>28681</v>
      </c>
      <c r="H263" s="14">
        <f>INDEX(Clientes!$E$4:$E$15,MATCH(B263,Clientes!$A$4:$A$15,0))</f>
        <v>1</v>
      </c>
      <c r="I263" s="15">
        <f t="shared" si="4"/>
        <v>645323</v>
      </c>
    </row>
    <row r="264" spans="1:9" x14ac:dyDescent="0.3">
      <c r="A264" s="13">
        <v>45597</v>
      </c>
      <c r="B264" t="s">
        <v>30</v>
      </c>
      <c r="C264" t="s">
        <v>64</v>
      </c>
      <c r="D264" t="str">
        <f>INDEX(Clientes!$B$4:$B$15,MATCH(B264,Clientes!$A$4:$A$15,0))</f>
        <v>Ferretería El Tornillo</v>
      </c>
      <c r="E264" t="str">
        <f>INDEX(Catalogo_Servicios!$C$4:$C$24,MATCH(C264,Catalogo_Servicios!$A$4:$A$24,0))</f>
        <v>Estados financieros mensuales</v>
      </c>
      <c r="F264" s="14">
        <v>3.25</v>
      </c>
      <c r="G264" s="15">
        <f>Parametros!$B$4</f>
        <v>28681</v>
      </c>
      <c r="H264" s="14">
        <f>INDEX(Clientes!$E$4:$E$15,MATCH(B264,Clientes!$A$4:$A$15,0))</f>
        <v>1</v>
      </c>
      <c r="I264" s="15">
        <f t="shared" si="4"/>
        <v>93213</v>
      </c>
    </row>
    <row r="265" spans="1:9" x14ac:dyDescent="0.3">
      <c r="A265" s="13">
        <v>45597</v>
      </c>
      <c r="B265" t="s">
        <v>30</v>
      </c>
      <c r="C265" t="s">
        <v>65</v>
      </c>
      <c r="D265" t="str">
        <f>INDEX(Clientes!$B$4:$B$15,MATCH(B265,Clientes!$A$4:$A$15,0))</f>
        <v>Ferretería El Tornillo</v>
      </c>
      <c r="E265" t="str">
        <f>INDEX(Catalogo_Servicios!$C$4:$C$24,MATCH(C265,Catalogo_Servicios!$A$4:$A$24,0))</f>
        <v>Declaración mensual de IVA (D-104)</v>
      </c>
      <c r="F265" s="14">
        <v>0.75</v>
      </c>
      <c r="G265" s="15">
        <f>Parametros!$B$4</f>
        <v>28681</v>
      </c>
      <c r="H265" s="14">
        <f>INDEX(Clientes!$E$4:$E$15,MATCH(B265,Clientes!$A$4:$A$15,0))</f>
        <v>1</v>
      </c>
      <c r="I265" s="15">
        <f t="shared" si="4"/>
        <v>21511</v>
      </c>
    </row>
    <row r="266" spans="1:9" x14ac:dyDescent="0.3">
      <c r="A266" s="13">
        <v>45597</v>
      </c>
      <c r="B266" t="s">
        <v>30</v>
      </c>
      <c r="C266" t="s">
        <v>66</v>
      </c>
      <c r="D266" t="str">
        <f>INDEX(Clientes!$B$4:$B$15,MATCH(B266,Clientes!$A$4:$A$15,0))</f>
        <v>Ferretería El Tornillo</v>
      </c>
      <c r="E266" t="str">
        <f>INDEX(Catalogo_Servicios!$C$4:$C$24,MATCH(C266,Catalogo_Servicios!$A$4:$A$24,0))</f>
        <v>Declaración mensual de retenciones (D-103)</v>
      </c>
      <c r="F266" s="14">
        <v>0.25</v>
      </c>
      <c r="G266" s="15">
        <f>Parametros!$B$4</f>
        <v>28681</v>
      </c>
      <c r="H266" s="14">
        <f>INDEX(Clientes!$E$4:$E$15,MATCH(B266,Clientes!$A$4:$A$15,0))</f>
        <v>1</v>
      </c>
      <c r="I266" s="15">
        <f t="shared" si="4"/>
        <v>7170</v>
      </c>
    </row>
    <row r="267" spans="1:9" x14ac:dyDescent="0.3">
      <c r="A267" s="13">
        <v>45597</v>
      </c>
      <c r="B267" t="s">
        <v>31</v>
      </c>
      <c r="C267" t="s">
        <v>65</v>
      </c>
      <c r="D267" t="str">
        <f>INDEX(Clientes!$B$4:$B$15,MATCH(B267,Clientes!$A$4:$A$15,0))</f>
        <v>Clínica Dental Sonrisa</v>
      </c>
      <c r="E267" t="str">
        <f>INDEX(Catalogo_Servicios!$C$4:$C$24,MATCH(C267,Catalogo_Servicios!$A$4:$A$24,0))</f>
        <v>Declaración mensual de IVA (D-104)</v>
      </c>
      <c r="F267" s="14">
        <v>0.75</v>
      </c>
      <c r="G267" s="15">
        <f>Parametros!$B$4</f>
        <v>28681</v>
      </c>
      <c r="H267" s="14">
        <f>INDEX(Clientes!$E$4:$E$15,MATCH(B267,Clientes!$A$4:$A$15,0))</f>
        <v>1.1000000000000001</v>
      </c>
      <c r="I267" s="15">
        <f t="shared" si="4"/>
        <v>23662</v>
      </c>
    </row>
    <row r="268" spans="1:9" x14ac:dyDescent="0.3">
      <c r="A268" s="13">
        <v>45597</v>
      </c>
      <c r="B268" t="s">
        <v>32</v>
      </c>
      <c r="C268" t="s">
        <v>65</v>
      </c>
      <c r="D268" t="str">
        <f>INDEX(Clientes!$B$4:$B$15,MATCH(B268,Clientes!$A$4:$A$15,0))</f>
        <v>Soda y Restaurante Doña Lela</v>
      </c>
      <c r="E268" t="str">
        <f>INDEX(Catalogo_Servicios!$C$4:$C$24,MATCH(C268,Catalogo_Servicios!$A$4:$A$24,0))</f>
        <v>Declaración mensual de IVA (D-104)</v>
      </c>
      <c r="F268" s="14">
        <v>0.75</v>
      </c>
      <c r="G268" s="15">
        <f>Parametros!$B$4</f>
        <v>28681</v>
      </c>
      <c r="H268" s="14">
        <f>INDEX(Clientes!$E$4:$E$15,MATCH(B268,Clientes!$A$4:$A$15,0))</f>
        <v>1</v>
      </c>
      <c r="I268" s="15">
        <f t="shared" si="4"/>
        <v>21511</v>
      </c>
    </row>
    <row r="269" spans="1:9" x14ac:dyDescent="0.3">
      <c r="A269" s="13">
        <v>45597</v>
      </c>
      <c r="B269" t="s">
        <v>33</v>
      </c>
      <c r="C269" t="s">
        <v>65</v>
      </c>
      <c r="D269" t="str">
        <f>INDEX(Clientes!$B$4:$B$15,MATCH(B269,Clientes!$A$4:$A$15,0))</f>
        <v>Transportes Rápidos del Valle</v>
      </c>
      <c r="E269" t="str">
        <f>INDEX(Catalogo_Servicios!$C$4:$C$24,MATCH(C269,Catalogo_Servicios!$A$4:$A$24,0))</f>
        <v>Declaración mensual de IVA (D-104)</v>
      </c>
      <c r="F269" s="14">
        <v>0.75</v>
      </c>
      <c r="G269" s="15">
        <f>Parametros!$B$4</f>
        <v>28681</v>
      </c>
      <c r="H269" s="14">
        <f>INDEX(Clientes!$E$4:$E$15,MATCH(B269,Clientes!$A$4:$A$15,0))</f>
        <v>1</v>
      </c>
      <c r="I269" s="15">
        <f t="shared" si="4"/>
        <v>21511</v>
      </c>
    </row>
    <row r="270" spans="1:9" x14ac:dyDescent="0.3">
      <c r="A270" s="13">
        <v>45597</v>
      </c>
      <c r="B270" t="s">
        <v>33</v>
      </c>
      <c r="C270" t="s">
        <v>66</v>
      </c>
      <c r="D270" t="str">
        <f>INDEX(Clientes!$B$4:$B$15,MATCH(B270,Clientes!$A$4:$A$15,0))</f>
        <v>Transportes Rápidos del Valle</v>
      </c>
      <c r="E270" t="str">
        <f>INDEX(Catalogo_Servicios!$C$4:$C$24,MATCH(C270,Catalogo_Servicios!$A$4:$A$24,0))</f>
        <v>Declaración mensual de retenciones (D-103)</v>
      </c>
      <c r="F270" s="14">
        <v>0.25</v>
      </c>
      <c r="G270" s="15">
        <f>Parametros!$B$4</f>
        <v>28681</v>
      </c>
      <c r="H270" s="14">
        <f>INDEX(Clientes!$E$4:$E$15,MATCH(B270,Clientes!$A$4:$A$15,0))</f>
        <v>1</v>
      </c>
      <c r="I270" s="15">
        <f t="shared" si="4"/>
        <v>7170</v>
      </c>
    </row>
    <row r="271" spans="1:9" x14ac:dyDescent="0.3">
      <c r="A271" s="13">
        <v>45597</v>
      </c>
      <c r="B271" t="s">
        <v>33</v>
      </c>
      <c r="C271" t="s">
        <v>67</v>
      </c>
      <c r="D271" t="str">
        <f>INDEX(Clientes!$B$4:$B$15,MATCH(B271,Clientes!$A$4:$A$15,0))</f>
        <v>Transportes Rápidos del Valle</v>
      </c>
      <c r="E271" t="str">
        <f>INDEX(Catalogo_Servicios!$C$4:$C$24,MATCH(C271,Catalogo_Servicios!$A$4:$A$24,0))</f>
        <v>Cálculo de planillas y cargas sociales (CCSS/INS)</v>
      </c>
      <c r="F271" s="14">
        <v>6</v>
      </c>
      <c r="G271" s="15">
        <f>Parametros!$B$4</f>
        <v>28681</v>
      </c>
      <c r="H271" s="14">
        <f>INDEX(Clientes!$E$4:$E$15,MATCH(B271,Clientes!$A$4:$A$15,0))</f>
        <v>1</v>
      </c>
      <c r="I271" s="15">
        <f t="shared" si="4"/>
        <v>172086</v>
      </c>
    </row>
    <row r="272" spans="1:9" x14ac:dyDescent="0.3">
      <c r="A272" s="13">
        <v>45597</v>
      </c>
      <c r="B272" t="s">
        <v>35</v>
      </c>
      <c r="C272" t="s">
        <v>65</v>
      </c>
      <c r="D272" t="str">
        <f>INDEX(Clientes!$B$4:$B$15,MATCH(B272,Clientes!$A$4:$A$15,0))</f>
        <v>Taller Mecánico Hermanos Mora</v>
      </c>
      <c r="E272" t="str">
        <f>INDEX(Catalogo_Servicios!$C$4:$C$24,MATCH(C272,Catalogo_Servicios!$A$4:$A$24,0))</f>
        <v>Declaración mensual de IVA (D-104)</v>
      </c>
      <c r="F272" s="14">
        <v>0.75</v>
      </c>
      <c r="G272" s="15">
        <f>Parametros!$B$4</f>
        <v>28681</v>
      </c>
      <c r="H272" s="14">
        <f>INDEX(Clientes!$E$4:$E$15,MATCH(B272,Clientes!$A$4:$A$15,0))</f>
        <v>1</v>
      </c>
      <c r="I272" s="15">
        <f t="shared" si="4"/>
        <v>21511</v>
      </c>
    </row>
    <row r="273" spans="1:9" x14ac:dyDescent="0.3">
      <c r="A273" s="13">
        <v>45597</v>
      </c>
      <c r="B273" t="s">
        <v>36</v>
      </c>
      <c r="C273" t="s">
        <v>65</v>
      </c>
      <c r="D273" t="str">
        <f>INDEX(Clientes!$B$4:$B$15,MATCH(B273,Clientes!$A$4:$A$15,0))</f>
        <v>Agroservicios Cartago</v>
      </c>
      <c r="E273" t="str">
        <f>INDEX(Catalogo_Servicios!$C$4:$C$24,MATCH(C273,Catalogo_Servicios!$A$4:$A$24,0))</f>
        <v>Declaración mensual de IVA (D-104)</v>
      </c>
      <c r="F273" s="14">
        <v>0.75</v>
      </c>
      <c r="G273" s="15">
        <f>Parametros!$B$4</f>
        <v>28681</v>
      </c>
      <c r="H273" s="14">
        <f>INDEX(Clientes!$E$4:$E$15,MATCH(B273,Clientes!$A$4:$A$15,0))</f>
        <v>1</v>
      </c>
      <c r="I273" s="15">
        <f t="shared" si="4"/>
        <v>21511</v>
      </c>
    </row>
    <row r="274" spans="1:9" x14ac:dyDescent="0.3">
      <c r="A274" s="13">
        <v>45597</v>
      </c>
      <c r="B274" t="s">
        <v>36</v>
      </c>
      <c r="C274" t="s">
        <v>66</v>
      </c>
      <c r="D274" t="str">
        <f>INDEX(Clientes!$B$4:$B$15,MATCH(B274,Clientes!$A$4:$A$15,0))</f>
        <v>Agroservicios Cartago</v>
      </c>
      <c r="E274" t="str">
        <f>INDEX(Catalogo_Servicios!$C$4:$C$24,MATCH(C274,Catalogo_Servicios!$A$4:$A$24,0))</f>
        <v>Declaración mensual de retenciones (D-103)</v>
      </c>
      <c r="F274" s="14">
        <v>0.25</v>
      </c>
      <c r="G274" s="15">
        <f>Parametros!$B$4</f>
        <v>28681</v>
      </c>
      <c r="H274" s="14">
        <f>INDEX(Clientes!$E$4:$E$15,MATCH(B274,Clientes!$A$4:$A$15,0))</f>
        <v>1</v>
      </c>
      <c r="I274" s="15">
        <f t="shared" si="4"/>
        <v>7170</v>
      </c>
    </row>
    <row r="275" spans="1:9" x14ac:dyDescent="0.3">
      <c r="A275" s="13">
        <v>45597</v>
      </c>
      <c r="B275" t="s">
        <v>38</v>
      </c>
      <c r="C275" t="s">
        <v>65</v>
      </c>
      <c r="D275" t="str">
        <f>INDEX(Clientes!$B$4:$B$15,MATCH(B275,Clientes!$A$4:$A$15,0))</f>
        <v>Panadería La Espiga</v>
      </c>
      <c r="E275" t="str">
        <f>INDEX(Catalogo_Servicios!$C$4:$C$24,MATCH(C275,Catalogo_Servicios!$A$4:$A$24,0))</f>
        <v>Declaración mensual de IVA (D-104)</v>
      </c>
      <c r="F275" s="14">
        <v>0.75</v>
      </c>
      <c r="G275" s="15">
        <f>Parametros!$B$4</f>
        <v>28681</v>
      </c>
      <c r="H275" s="14">
        <f>INDEX(Clientes!$E$4:$E$15,MATCH(B275,Clientes!$A$4:$A$15,0))</f>
        <v>1</v>
      </c>
      <c r="I275" s="15">
        <f t="shared" si="4"/>
        <v>21511</v>
      </c>
    </row>
    <row r="276" spans="1:9" x14ac:dyDescent="0.3">
      <c r="A276" s="13">
        <v>45597</v>
      </c>
      <c r="B276" t="s">
        <v>38</v>
      </c>
      <c r="C276" t="s">
        <v>67</v>
      </c>
      <c r="D276" t="str">
        <f>INDEX(Clientes!$B$4:$B$15,MATCH(B276,Clientes!$A$4:$A$15,0))</f>
        <v>Panadería La Espiga</v>
      </c>
      <c r="E276" t="str">
        <f>INDEX(Catalogo_Servicios!$C$4:$C$24,MATCH(C276,Catalogo_Servicios!$A$4:$A$24,0))</f>
        <v>Cálculo de planillas y cargas sociales (CCSS/INS)</v>
      </c>
      <c r="F276" s="14">
        <v>6.5</v>
      </c>
      <c r="G276" s="15">
        <f>Parametros!$B$4</f>
        <v>28681</v>
      </c>
      <c r="H276" s="14">
        <f>INDEX(Clientes!$E$4:$E$15,MATCH(B276,Clientes!$A$4:$A$15,0))</f>
        <v>1</v>
      </c>
      <c r="I276" s="15">
        <f t="shared" si="4"/>
        <v>186427</v>
      </c>
    </row>
    <row r="277" spans="1:9" x14ac:dyDescent="0.3">
      <c r="A277" s="13">
        <v>45627</v>
      </c>
      <c r="B277" t="s">
        <v>29</v>
      </c>
      <c r="C277" t="s">
        <v>64</v>
      </c>
      <c r="D277" t="str">
        <f>INDEX(Clientes!$B$4:$B$15,MATCH(B277,Clientes!$A$4:$A$15,0))</f>
        <v>Distribuidora Los Andes S.A.</v>
      </c>
      <c r="E277" t="str">
        <f>INDEX(Catalogo_Servicios!$C$4:$C$24,MATCH(C277,Catalogo_Servicios!$A$4:$A$24,0))</f>
        <v>Estados financieros mensuales</v>
      </c>
      <c r="F277" s="14">
        <v>3</v>
      </c>
      <c r="G277" s="15">
        <f>Parametros!$B$4</f>
        <v>28681</v>
      </c>
      <c r="H277" s="14">
        <f>INDEX(Clientes!$E$4:$E$15,MATCH(B277,Clientes!$A$4:$A$15,0))</f>
        <v>1</v>
      </c>
      <c r="I277" s="15">
        <f t="shared" si="4"/>
        <v>86043</v>
      </c>
    </row>
    <row r="278" spans="1:9" x14ac:dyDescent="0.3">
      <c r="A278" s="13">
        <v>45627</v>
      </c>
      <c r="B278" t="s">
        <v>29</v>
      </c>
      <c r="C278" t="s">
        <v>65</v>
      </c>
      <c r="D278" t="str">
        <f>INDEX(Clientes!$B$4:$B$15,MATCH(B278,Clientes!$A$4:$A$15,0))</f>
        <v>Distribuidora Los Andes S.A.</v>
      </c>
      <c r="E278" t="str">
        <f>INDEX(Catalogo_Servicios!$C$4:$C$24,MATCH(C278,Catalogo_Servicios!$A$4:$A$24,0))</f>
        <v>Declaración mensual de IVA (D-104)</v>
      </c>
      <c r="F278" s="14">
        <v>0.75</v>
      </c>
      <c r="G278" s="15">
        <f>Parametros!$B$4</f>
        <v>28681</v>
      </c>
      <c r="H278" s="14">
        <f>INDEX(Clientes!$E$4:$E$15,MATCH(B278,Clientes!$A$4:$A$15,0))</f>
        <v>1</v>
      </c>
      <c r="I278" s="15">
        <f t="shared" si="4"/>
        <v>21511</v>
      </c>
    </row>
    <row r="279" spans="1:9" x14ac:dyDescent="0.3">
      <c r="A279" s="13">
        <v>45627</v>
      </c>
      <c r="B279" t="s">
        <v>29</v>
      </c>
      <c r="C279" t="s">
        <v>66</v>
      </c>
      <c r="D279" t="str">
        <f>INDEX(Clientes!$B$4:$B$15,MATCH(B279,Clientes!$A$4:$A$15,0))</f>
        <v>Distribuidora Los Andes S.A.</v>
      </c>
      <c r="E279" t="str">
        <f>INDEX(Catalogo_Servicios!$C$4:$C$24,MATCH(C279,Catalogo_Servicios!$A$4:$A$24,0))</f>
        <v>Declaración mensual de retenciones (D-103)</v>
      </c>
      <c r="F279" s="14">
        <v>0.25</v>
      </c>
      <c r="G279" s="15">
        <f>Parametros!$B$4</f>
        <v>28681</v>
      </c>
      <c r="H279" s="14">
        <f>INDEX(Clientes!$E$4:$E$15,MATCH(B279,Clientes!$A$4:$A$15,0))</f>
        <v>1</v>
      </c>
      <c r="I279" s="15">
        <f t="shared" si="4"/>
        <v>7170</v>
      </c>
    </row>
    <row r="280" spans="1:9" x14ac:dyDescent="0.3">
      <c r="A280" s="13">
        <v>45627</v>
      </c>
      <c r="B280" t="s">
        <v>29</v>
      </c>
      <c r="C280" t="s">
        <v>67</v>
      </c>
      <c r="D280" t="str">
        <f>INDEX(Clientes!$B$4:$B$15,MATCH(B280,Clientes!$A$4:$A$15,0))</f>
        <v>Distribuidora Los Andes S.A.</v>
      </c>
      <c r="E280" t="str">
        <f>INDEX(Catalogo_Servicios!$C$4:$C$24,MATCH(C280,Catalogo_Servicios!$A$4:$A$24,0))</f>
        <v>Cálculo de planillas y cargas sociales (CCSS/INS)</v>
      </c>
      <c r="F280" s="14">
        <v>21.5</v>
      </c>
      <c r="G280" s="15">
        <f>Parametros!$B$4</f>
        <v>28681</v>
      </c>
      <c r="H280" s="14">
        <f>INDEX(Clientes!$E$4:$E$15,MATCH(B280,Clientes!$A$4:$A$15,0))</f>
        <v>1</v>
      </c>
      <c r="I280" s="15">
        <f t="shared" si="4"/>
        <v>616642</v>
      </c>
    </row>
    <row r="281" spans="1:9" x14ac:dyDescent="0.3">
      <c r="A281" s="13">
        <v>45627</v>
      </c>
      <c r="B281" t="s">
        <v>29</v>
      </c>
      <c r="C281" t="s">
        <v>69</v>
      </c>
      <c r="D281" t="str">
        <f>INDEX(Clientes!$B$4:$B$15,MATCH(B281,Clientes!$A$4:$A$15,0))</f>
        <v>Distribuidora Los Andes S.A.</v>
      </c>
      <c r="E281" t="str">
        <f>INDEX(Catalogo_Servicios!$C$4:$C$24,MATCH(C281,Catalogo_Servicios!$A$4:$A$24,0))</f>
        <v>Declaración anual de renta (D-101 / D-105)</v>
      </c>
      <c r="F281" s="14">
        <v>1.5</v>
      </c>
      <c r="G281" s="15">
        <f>Parametros!$B$4</f>
        <v>28681</v>
      </c>
      <c r="H281" s="14">
        <f>INDEX(Clientes!$E$4:$E$15,MATCH(B281,Clientes!$A$4:$A$15,0))</f>
        <v>1</v>
      </c>
      <c r="I281" s="15">
        <f t="shared" si="4"/>
        <v>43022</v>
      </c>
    </row>
    <row r="282" spans="1:9" x14ac:dyDescent="0.3">
      <c r="A282" s="13">
        <v>45627</v>
      </c>
      <c r="B282" t="s">
        <v>29</v>
      </c>
      <c r="C282" t="s">
        <v>70</v>
      </c>
      <c r="D282" t="str">
        <f>INDEX(Clientes!$B$4:$B$15,MATCH(B282,Clientes!$A$4:$A$15,0))</f>
        <v>Distribuidora Los Andes S.A.</v>
      </c>
      <c r="E282" t="str">
        <f>INDEX(Catalogo_Servicios!$C$4:$C$24,MATCH(C282,Catalogo_Servicios!$A$4:$A$24,0))</f>
        <v>Estados financieros anuales / cierre fiscal</v>
      </c>
      <c r="F282" s="14">
        <v>6</v>
      </c>
      <c r="G282" s="15">
        <f>Parametros!$B$4</f>
        <v>28681</v>
      </c>
      <c r="H282" s="14">
        <f>INDEX(Clientes!$E$4:$E$15,MATCH(B282,Clientes!$A$4:$A$15,0))</f>
        <v>1</v>
      </c>
      <c r="I282" s="15">
        <f t="shared" si="4"/>
        <v>172086</v>
      </c>
    </row>
    <row r="283" spans="1:9" x14ac:dyDescent="0.3">
      <c r="A283" s="13">
        <v>45627</v>
      </c>
      <c r="B283" t="s">
        <v>30</v>
      </c>
      <c r="C283" t="s">
        <v>64</v>
      </c>
      <c r="D283" t="str">
        <f>INDEX(Clientes!$B$4:$B$15,MATCH(B283,Clientes!$A$4:$A$15,0))</f>
        <v>Ferretería El Tornillo</v>
      </c>
      <c r="E283" t="str">
        <f>INDEX(Catalogo_Servicios!$C$4:$C$24,MATCH(C283,Catalogo_Servicios!$A$4:$A$24,0))</f>
        <v>Estados financieros mensuales</v>
      </c>
      <c r="F283" s="14">
        <v>3.25</v>
      </c>
      <c r="G283" s="15">
        <f>Parametros!$B$4</f>
        <v>28681</v>
      </c>
      <c r="H283" s="14">
        <f>INDEX(Clientes!$E$4:$E$15,MATCH(B283,Clientes!$A$4:$A$15,0))</f>
        <v>1</v>
      </c>
      <c r="I283" s="15">
        <f t="shared" si="4"/>
        <v>93213</v>
      </c>
    </row>
    <row r="284" spans="1:9" x14ac:dyDescent="0.3">
      <c r="A284" s="13">
        <v>45627</v>
      </c>
      <c r="B284" t="s">
        <v>30</v>
      </c>
      <c r="C284" t="s">
        <v>65</v>
      </c>
      <c r="D284" t="str">
        <f>INDEX(Clientes!$B$4:$B$15,MATCH(B284,Clientes!$A$4:$A$15,0))</f>
        <v>Ferretería El Tornillo</v>
      </c>
      <c r="E284" t="str">
        <f>INDEX(Catalogo_Servicios!$C$4:$C$24,MATCH(C284,Catalogo_Servicios!$A$4:$A$24,0))</f>
        <v>Declaración mensual de IVA (D-104)</v>
      </c>
      <c r="F284" s="14">
        <v>0.75</v>
      </c>
      <c r="G284" s="15">
        <f>Parametros!$B$4</f>
        <v>28681</v>
      </c>
      <c r="H284" s="14">
        <f>INDEX(Clientes!$E$4:$E$15,MATCH(B284,Clientes!$A$4:$A$15,0))</f>
        <v>1</v>
      </c>
      <c r="I284" s="15">
        <f t="shared" si="4"/>
        <v>21511</v>
      </c>
    </row>
    <row r="285" spans="1:9" x14ac:dyDescent="0.3">
      <c r="A285" s="13">
        <v>45627</v>
      </c>
      <c r="B285" t="s">
        <v>30</v>
      </c>
      <c r="C285" t="s">
        <v>66</v>
      </c>
      <c r="D285" t="str">
        <f>INDEX(Clientes!$B$4:$B$15,MATCH(B285,Clientes!$A$4:$A$15,0))</f>
        <v>Ferretería El Tornillo</v>
      </c>
      <c r="E285" t="str">
        <f>INDEX(Catalogo_Servicios!$C$4:$C$24,MATCH(C285,Catalogo_Servicios!$A$4:$A$24,0))</f>
        <v>Declaración mensual de retenciones (D-103)</v>
      </c>
      <c r="F285" s="14">
        <v>0.25</v>
      </c>
      <c r="G285" s="15">
        <f>Parametros!$B$4</f>
        <v>28681</v>
      </c>
      <c r="H285" s="14">
        <f>INDEX(Clientes!$E$4:$E$15,MATCH(B285,Clientes!$A$4:$A$15,0))</f>
        <v>1</v>
      </c>
      <c r="I285" s="15">
        <f t="shared" si="4"/>
        <v>7170</v>
      </c>
    </row>
    <row r="286" spans="1:9" x14ac:dyDescent="0.3">
      <c r="A286" s="13">
        <v>45627</v>
      </c>
      <c r="B286" t="s">
        <v>31</v>
      </c>
      <c r="C286" t="s">
        <v>65</v>
      </c>
      <c r="D286" t="str">
        <f>INDEX(Clientes!$B$4:$B$15,MATCH(B286,Clientes!$A$4:$A$15,0))</f>
        <v>Clínica Dental Sonrisa</v>
      </c>
      <c r="E286" t="str">
        <f>INDEX(Catalogo_Servicios!$C$4:$C$24,MATCH(C286,Catalogo_Servicios!$A$4:$A$24,0))</f>
        <v>Declaración mensual de IVA (D-104)</v>
      </c>
      <c r="F286" s="14">
        <v>0.75</v>
      </c>
      <c r="G286" s="15">
        <f>Parametros!$B$4</f>
        <v>28681</v>
      </c>
      <c r="H286" s="14">
        <f>INDEX(Clientes!$E$4:$E$15,MATCH(B286,Clientes!$A$4:$A$15,0))</f>
        <v>1.1000000000000001</v>
      </c>
      <c r="I286" s="15">
        <f t="shared" si="4"/>
        <v>23662</v>
      </c>
    </row>
    <row r="287" spans="1:9" x14ac:dyDescent="0.3">
      <c r="A287" s="13">
        <v>45627</v>
      </c>
      <c r="B287" t="s">
        <v>31</v>
      </c>
      <c r="C287" t="s">
        <v>69</v>
      </c>
      <c r="D287" t="str">
        <f>INDEX(Clientes!$B$4:$B$15,MATCH(B287,Clientes!$A$4:$A$15,0))</f>
        <v>Clínica Dental Sonrisa</v>
      </c>
      <c r="E287" t="str">
        <f>INDEX(Catalogo_Servicios!$C$4:$C$24,MATCH(C287,Catalogo_Servicios!$A$4:$A$24,0))</f>
        <v>Declaración anual de renta (D-101 / D-105)</v>
      </c>
      <c r="F287" s="14">
        <v>1.75</v>
      </c>
      <c r="G287" s="15">
        <f>Parametros!$B$4</f>
        <v>28681</v>
      </c>
      <c r="H287" s="14">
        <f>INDEX(Clientes!$E$4:$E$15,MATCH(B287,Clientes!$A$4:$A$15,0))</f>
        <v>1.1000000000000001</v>
      </c>
      <c r="I287" s="15">
        <f t="shared" si="4"/>
        <v>55211</v>
      </c>
    </row>
    <row r="288" spans="1:9" x14ac:dyDescent="0.3">
      <c r="A288" s="13">
        <v>45627</v>
      </c>
      <c r="B288" t="s">
        <v>31</v>
      </c>
      <c r="C288" t="s">
        <v>74</v>
      </c>
      <c r="D288" t="str">
        <f>INDEX(Clientes!$B$4:$B$15,MATCH(B288,Clientes!$A$4:$A$15,0))</f>
        <v>Clínica Dental Sonrisa</v>
      </c>
      <c r="E288" t="str">
        <f>INDEX(Catalogo_Servicios!$C$4:$C$24,MATCH(C288,Catalogo_Servicios!$A$4:$A$24,0))</f>
        <v>Certificación de ingresos y estudios generales</v>
      </c>
      <c r="F288" s="14">
        <v>3</v>
      </c>
      <c r="G288" s="15">
        <f>Parametros!$B$4</f>
        <v>28681</v>
      </c>
      <c r="H288" s="14">
        <f>INDEX(Clientes!$E$4:$E$15,MATCH(B288,Clientes!$A$4:$A$15,0))</f>
        <v>1.1000000000000001</v>
      </c>
      <c r="I288" s="15">
        <f t="shared" si="4"/>
        <v>94647</v>
      </c>
    </row>
    <row r="289" spans="1:9" x14ac:dyDescent="0.3">
      <c r="A289" s="13">
        <v>45627</v>
      </c>
      <c r="B289" t="s">
        <v>32</v>
      </c>
      <c r="C289" t="s">
        <v>65</v>
      </c>
      <c r="D289" t="str">
        <f>INDEX(Clientes!$B$4:$B$15,MATCH(B289,Clientes!$A$4:$A$15,0))</f>
        <v>Soda y Restaurante Doña Lela</v>
      </c>
      <c r="E289" t="str">
        <f>INDEX(Catalogo_Servicios!$C$4:$C$24,MATCH(C289,Catalogo_Servicios!$A$4:$A$24,0))</f>
        <v>Declaración mensual de IVA (D-104)</v>
      </c>
      <c r="F289" s="14">
        <v>0.75</v>
      </c>
      <c r="G289" s="15">
        <f>Parametros!$B$4</f>
        <v>28681</v>
      </c>
      <c r="H289" s="14">
        <f>INDEX(Clientes!$E$4:$E$15,MATCH(B289,Clientes!$A$4:$A$15,0))</f>
        <v>1</v>
      </c>
      <c r="I289" s="15">
        <f t="shared" si="4"/>
        <v>21511</v>
      </c>
    </row>
    <row r="290" spans="1:9" x14ac:dyDescent="0.3">
      <c r="A290" s="13">
        <v>45627</v>
      </c>
      <c r="B290" t="s">
        <v>32</v>
      </c>
      <c r="C290" t="s">
        <v>69</v>
      </c>
      <c r="D290" t="str">
        <f>INDEX(Clientes!$B$4:$B$15,MATCH(B290,Clientes!$A$4:$A$15,0))</f>
        <v>Soda y Restaurante Doña Lela</v>
      </c>
      <c r="E290" t="str">
        <f>INDEX(Catalogo_Servicios!$C$4:$C$24,MATCH(C290,Catalogo_Servicios!$A$4:$A$24,0))</f>
        <v>Declaración anual de renta (D-101 / D-105)</v>
      </c>
      <c r="F290" s="14">
        <v>1.5</v>
      </c>
      <c r="G290" s="15">
        <f>Parametros!$B$4</f>
        <v>28681</v>
      </c>
      <c r="H290" s="14">
        <f>INDEX(Clientes!$E$4:$E$15,MATCH(B290,Clientes!$A$4:$A$15,0))</f>
        <v>1</v>
      </c>
      <c r="I290" s="15">
        <f t="shared" si="4"/>
        <v>43022</v>
      </c>
    </row>
    <row r="291" spans="1:9" x14ac:dyDescent="0.3">
      <c r="A291" s="13">
        <v>45627</v>
      </c>
      <c r="B291" t="s">
        <v>33</v>
      </c>
      <c r="C291" t="s">
        <v>65</v>
      </c>
      <c r="D291" t="str">
        <f>INDEX(Clientes!$B$4:$B$15,MATCH(B291,Clientes!$A$4:$A$15,0))</f>
        <v>Transportes Rápidos del Valle</v>
      </c>
      <c r="E291" t="str">
        <f>INDEX(Catalogo_Servicios!$C$4:$C$24,MATCH(C291,Catalogo_Servicios!$A$4:$A$24,0))</f>
        <v>Declaración mensual de IVA (D-104)</v>
      </c>
      <c r="F291" s="14">
        <v>0.75</v>
      </c>
      <c r="G291" s="15">
        <f>Parametros!$B$4</f>
        <v>28681</v>
      </c>
      <c r="H291" s="14">
        <f>INDEX(Clientes!$E$4:$E$15,MATCH(B291,Clientes!$A$4:$A$15,0))</f>
        <v>1</v>
      </c>
      <c r="I291" s="15">
        <f t="shared" si="4"/>
        <v>21511</v>
      </c>
    </row>
    <row r="292" spans="1:9" x14ac:dyDescent="0.3">
      <c r="A292" s="13">
        <v>45627</v>
      </c>
      <c r="B292" t="s">
        <v>33</v>
      </c>
      <c r="C292" t="s">
        <v>66</v>
      </c>
      <c r="D292" t="str">
        <f>INDEX(Clientes!$B$4:$B$15,MATCH(B292,Clientes!$A$4:$A$15,0))</f>
        <v>Transportes Rápidos del Valle</v>
      </c>
      <c r="E292" t="str">
        <f>INDEX(Catalogo_Servicios!$C$4:$C$24,MATCH(C292,Catalogo_Servicios!$A$4:$A$24,0))</f>
        <v>Declaración mensual de retenciones (D-103)</v>
      </c>
      <c r="F292" s="14">
        <v>0.25</v>
      </c>
      <c r="G292" s="15">
        <f>Parametros!$B$4</f>
        <v>28681</v>
      </c>
      <c r="H292" s="14">
        <f>INDEX(Clientes!$E$4:$E$15,MATCH(B292,Clientes!$A$4:$A$15,0))</f>
        <v>1</v>
      </c>
      <c r="I292" s="15">
        <f t="shared" si="4"/>
        <v>7170</v>
      </c>
    </row>
    <row r="293" spans="1:9" x14ac:dyDescent="0.3">
      <c r="A293" s="13">
        <v>45627</v>
      </c>
      <c r="B293" t="s">
        <v>33</v>
      </c>
      <c r="C293" t="s">
        <v>67</v>
      </c>
      <c r="D293" t="str">
        <f>INDEX(Clientes!$B$4:$B$15,MATCH(B293,Clientes!$A$4:$A$15,0))</f>
        <v>Transportes Rápidos del Valle</v>
      </c>
      <c r="E293" t="str">
        <f>INDEX(Catalogo_Servicios!$C$4:$C$24,MATCH(C293,Catalogo_Servicios!$A$4:$A$24,0))</f>
        <v>Cálculo de planillas y cargas sociales (CCSS/INS)</v>
      </c>
      <c r="F293" s="14">
        <v>6</v>
      </c>
      <c r="G293" s="15">
        <f>Parametros!$B$4</f>
        <v>28681</v>
      </c>
      <c r="H293" s="14">
        <f>INDEX(Clientes!$E$4:$E$15,MATCH(B293,Clientes!$A$4:$A$15,0))</f>
        <v>1</v>
      </c>
      <c r="I293" s="15">
        <f t="shared" si="4"/>
        <v>172086</v>
      </c>
    </row>
    <row r="294" spans="1:9" x14ac:dyDescent="0.3">
      <c r="A294" s="13">
        <v>45627</v>
      </c>
      <c r="B294" t="s">
        <v>33</v>
      </c>
      <c r="C294" t="s">
        <v>69</v>
      </c>
      <c r="D294" t="str">
        <f>INDEX(Clientes!$B$4:$B$15,MATCH(B294,Clientes!$A$4:$A$15,0))</f>
        <v>Transportes Rápidos del Valle</v>
      </c>
      <c r="E294" t="str">
        <f>INDEX(Catalogo_Servicios!$C$4:$C$24,MATCH(C294,Catalogo_Servicios!$A$4:$A$24,0))</f>
        <v>Declaración anual de renta (D-101 / D-105)</v>
      </c>
      <c r="F294" s="14">
        <v>1.75</v>
      </c>
      <c r="G294" s="15">
        <f>Parametros!$B$4</f>
        <v>28681</v>
      </c>
      <c r="H294" s="14">
        <f>INDEX(Clientes!$E$4:$E$15,MATCH(B294,Clientes!$A$4:$A$15,0))</f>
        <v>1</v>
      </c>
      <c r="I294" s="15">
        <f t="shared" si="4"/>
        <v>50192</v>
      </c>
    </row>
    <row r="295" spans="1:9" x14ac:dyDescent="0.3">
      <c r="A295" s="13">
        <v>45627</v>
      </c>
      <c r="B295" t="s">
        <v>35</v>
      </c>
      <c r="C295" t="s">
        <v>65</v>
      </c>
      <c r="D295" t="str">
        <f>INDEX(Clientes!$B$4:$B$15,MATCH(B295,Clientes!$A$4:$A$15,0))</f>
        <v>Taller Mecánico Hermanos Mora</v>
      </c>
      <c r="E295" t="str">
        <f>INDEX(Catalogo_Servicios!$C$4:$C$24,MATCH(C295,Catalogo_Servicios!$A$4:$A$24,0))</f>
        <v>Declaración mensual de IVA (D-104)</v>
      </c>
      <c r="F295" s="14">
        <v>0.75</v>
      </c>
      <c r="G295" s="15">
        <f>Parametros!$B$4</f>
        <v>28681</v>
      </c>
      <c r="H295" s="14">
        <f>INDEX(Clientes!$E$4:$E$15,MATCH(B295,Clientes!$A$4:$A$15,0))</f>
        <v>1</v>
      </c>
      <c r="I295" s="15">
        <f t="shared" si="4"/>
        <v>21511</v>
      </c>
    </row>
    <row r="296" spans="1:9" x14ac:dyDescent="0.3">
      <c r="A296" s="13">
        <v>45627</v>
      </c>
      <c r="B296" t="s">
        <v>36</v>
      </c>
      <c r="C296" t="s">
        <v>65</v>
      </c>
      <c r="D296" t="str">
        <f>INDEX(Clientes!$B$4:$B$15,MATCH(B296,Clientes!$A$4:$A$15,0))</f>
        <v>Agroservicios Cartago</v>
      </c>
      <c r="E296" t="str">
        <f>INDEX(Catalogo_Servicios!$C$4:$C$24,MATCH(C296,Catalogo_Servicios!$A$4:$A$24,0))</f>
        <v>Declaración mensual de IVA (D-104)</v>
      </c>
      <c r="F296" s="14">
        <v>0.75</v>
      </c>
      <c r="G296" s="15">
        <f>Parametros!$B$4</f>
        <v>28681</v>
      </c>
      <c r="H296" s="14">
        <f>INDEX(Clientes!$E$4:$E$15,MATCH(B296,Clientes!$A$4:$A$15,0))</f>
        <v>1</v>
      </c>
      <c r="I296" s="15">
        <f t="shared" si="4"/>
        <v>21511</v>
      </c>
    </row>
    <row r="297" spans="1:9" x14ac:dyDescent="0.3">
      <c r="A297" s="13">
        <v>45627</v>
      </c>
      <c r="B297" t="s">
        <v>36</v>
      </c>
      <c r="C297" t="s">
        <v>66</v>
      </c>
      <c r="D297" t="str">
        <f>INDEX(Clientes!$B$4:$B$15,MATCH(B297,Clientes!$A$4:$A$15,0))</f>
        <v>Agroservicios Cartago</v>
      </c>
      <c r="E297" t="str">
        <f>INDEX(Catalogo_Servicios!$C$4:$C$24,MATCH(C297,Catalogo_Servicios!$A$4:$A$24,0))</f>
        <v>Declaración mensual de retenciones (D-103)</v>
      </c>
      <c r="F297" s="14">
        <v>0.25</v>
      </c>
      <c r="G297" s="15">
        <f>Parametros!$B$4</f>
        <v>28681</v>
      </c>
      <c r="H297" s="14">
        <f>INDEX(Clientes!$E$4:$E$15,MATCH(B297,Clientes!$A$4:$A$15,0))</f>
        <v>1</v>
      </c>
      <c r="I297" s="15">
        <f t="shared" si="4"/>
        <v>7170</v>
      </c>
    </row>
    <row r="298" spans="1:9" x14ac:dyDescent="0.3">
      <c r="A298" s="13">
        <v>45627</v>
      </c>
      <c r="B298" t="s">
        <v>38</v>
      </c>
      <c r="C298" t="s">
        <v>65</v>
      </c>
      <c r="D298" t="str">
        <f>INDEX(Clientes!$B$4:$B$15,MATCH(B298,Clientes!$A$4:$A$15,0))</f>
        <v>Panadería La Espiga</v>
      </c>
      <c r="E298" t="str">
        <f>INDEX(Catalogo_Servicios!$C$4:$C$24,MATCH(C298,Catalogo_Servicios!$A$4:$A$24,0))</f>
        <v>Declaración mensual de IVA (D-104)</v>
      </c>
      <c r="F298" s="14">
        <v>0.75</v>
      </c>
      <c r="G298" s="15">
        <f>Parametros!$B$4</f>
        <v>28681</v>
      </c>
      <c r="H298" s="14">
        <f>INDEX(Clientes!$E$4:$E$15,MATCH(B298,Clientes!$A$4:$A$15,0))</f>
        <v>1</v>
      </c>
      <c r="I298" s="15">
        <f t="shared" si="4"/>
        <v>21511</v>
      </c>
    </row>
    <row r="299" spans="1:9" x14ac:dyDescent="0.3">
      <c r="A299" s="13">
        <v>45627</v>
      </c>
      <c r="B299" t="s">
        <v>38</v>
      </c>
      <c r="C299" t="s">
        <v>67</v>
      </c>
      <c r="D299" t="str">
        <f>INDEX(Clientes!$B$4:$B$15,MATCH(B299,Clientes!$A$4:$A$15,0))</f>
        <v>Panadería La Espiga</v>
      </c>
      <c r="E299" t="str">
        <f>INDEX(Catalogo_Servicios!$C$4:$C$24,MATCH(C299,Catalogo_Servicios!$A$4:$A$24,0))</f>
        <v>Cálculo de planillas y cargas sociales (CCSS/INS)</v>
      </c>
      <c r="F299" s="14">
        <v>6.5</v>
      </c>
      <c r="G299" s="15">
        <f>Parametros!$B$4</f>
        <v>28681</v>
      </c>
      <c r="H299" s="14">
        <f>INDEX(Clientes!$E$4:$E$15,MATCH(B299,Clientes!$A$4:$A$15,0))</f>
        <v>1</v>
      </c>
      <c r="I299" s="15">
        <f t="shared" si="4"/>
        <v>186427</v>
      </c>
    </row>
    <row r="300" spans="1:9" x14ac:dyDescent="0.3">
      <c r="A300" s="13">
        <v>45627</v>
      </c>
      <c r="B300" t="s">
        <v>38</v>
      </c>
      <c r="C300" t="s">
        <v>69</v>
      </c>
      <c r="D300" t="str">
        <f>INDEX(Clientes!$B$4:$B$15,MATCH(B300,Clientes!$A$4:$A$15,0))</f>
        <v>Panadería La Espiga</v>
      </c>
      <c r="E300" t="str">
        <f>INDEX(Catalogo_Servicios!$C$4:$C$24,MATCH(C300,Catalogo_Servicios!$A$4:$A$24,0))</f>
        <v>Declaración anual de renta (D-101 / D-105)</v>
      </c>
      <c r="F300" s="14">
        <v>1.75</v>
      </c>
      <c r="G300" s="15">
        <f>Parametros!$B$4</f>
        <v>28681</v>
      </c>
      <c r="H300" s="14">
        <f>INDEX(Clientes!$E$4:$E$15,MATCH(B300,Clientes!$A$4:$A$15,0))</f>
        <v>1</v>
      </c>
      <c r="I300" s="15">
        <f t="shared" si="4"/>
        <v>50192</v>
      </c>
    </row>
    <row r="301" spans="1:9" x14ac:dyDescent="0.3">
      <c r="A301" s="13">
        <v>45658</v>
      </c>
      <c r="B301" t="s">
        <v>29</v>
      </c>
      <c r="C301" t="s">
        <v>64</v>
      </c>
      <c r="D301" t="str">
        <f>INDEX(Clientes!$B$4:$B$15,MATCH(B301,Clientes!$A$4:$A$15,0))</f>
        <v>Distribuidora Los Andes S.A.</v>
      </c>
      <c r="E301" t="str">
        <f>INDEX(Catalogo_Servicios!$C$4:$C$24,MATCH(C301,Catalogo_Servicios!$A$4:$A$24,0))</f>
        <v>Estados financieros mensuales</v>
      </c>
      <c r="F301" s="14">
        <v>3</v>
      </c>
      <c r="G301" s="15">
        <f>Parametros!$B$4</f>
        <v>28681</v>
      </c>
      <c r="H301" s="14">
        <f>INDEX(Clientes!$E$4:$E$15,MATCH(B301,Clientes!$A$4:$A$15,0))</f>
        <v>1</v>
      </c>
      <c r="I301" s="15">
        <f t="shared" si="4"/>
        <v>86043</v>
      </c>
    </row>
    <row r="302" spans="1:9" x14ac:dyDescent="0.3">
      <c r="A302" s="13">
        <v>45658</v>
      </c>
      <c r="B302" t="s">
        <v>29</v>
      </c>
      <c r="C302" t="s">
        <v>65</v>
      </c>
      <c r="D302" t="str">
        <f>INDEX(Clientes!$B$4:$B$15,MATCH(B302,Clientes!$A$4:$A$15,0))</f>
        <v>Distribuidora Los Andes S.A.</v>
      </c>
      <c r="E302" t="str">
        <f>INDEX(Catalogo_Servicios!$C$4:$C$24,MATCH(C302,Catalogo_Servicios!$A$4:$A$24,0))</f>
        <v>Declaración mensual de IVA (D-104)</v>
      </c>
      <c r="F302" s="14">
        <v>0.75</v>
      </c>
      <c r="G302" s="15">
        <f>Parametros!$B$4</f>
        <v>28681</v>
      </c>
      <c r="H302" s="14">
        <f>INDEX(Clientes!$E$4:$E$15,MATCH(B302,Clientes!$A$4:$A$15,0))</f>
        <v>1</v>
      </c>
      <c r="I302" s="15">
        <f t="shared" si="4"/>
        <v>21511</v>
      </c>
    </row>
    <row r="303" spans="1:9" x14ac:dyDescent="0.3">
      <c r="A303" s="13">
        <v>45658</v>
      </c>
      <c r="B303" t="s">
        <v>29</v>
      </c>
      <c r="C303" t="s">
        <v>66</v>
      </c>
      <c r="D303" t="str">
        <f>INDEX(Clientes!$B$4:$B$15,MATCH(B303,Clientes!$A$4:$A$15,0))</f>
        <v>Distribuidora Los Andes S.A.</v>
      </c>
      <c r="E303" t="str">
        <f>INDEX(Catalogo_Servicios!$C$4:$C$24,MATCH(C303,Catalogo_Servicios!$A$4:$A$24,0))</f>
        <v>Declaración mensual de retenciones (D-103)</v>
      </c>
      <c r="F303" s="14">
        <v>0.25</v>
      </c>
      <c r="G303" s="15">
        <f>Parametros!$B$4</f>
        <v>28681</v>
      </c>
      <c r="H303" s="14">
        <f>INDEX(Clientes!$E$4:$E$15,MATCH(B303,Clientes!$A$4:$A$15,0))</f>
        <v>1</v>
      </c>
      <c r="I303" s="15">
        <f t="shared" si="4"/>
        <v>7170</v>
      </c>
    </row>
    <row r="304" spans="1:9" x14ac:dyDescent="0.3">
      <c r="A304" s="13">
        <v>45658</v>
      </c>
      <c r="B304" t="s">
        <v>29</v>
      </c>
      <c r="C304" t="s">
        <v>67</v>
      </c>
      <c r="D304" t="str">
        <f>INDEX(Clientes!$B$4:$B$15,MATCH(B304,Clientes!$A$4:$A$15,0))</f>
        <v>Distribuidora Los Andes S.A.</v>
      </c>
      <c r="E304" t="str">
        <f>INDEX(Catalogo_Servicios!$C$4:$C$24,MATCH(C304,Catalogo_Servicios!$A$4:$A$24,0))</f>
        <v>Cálculo de planillas y cargas sociales (CCSS/INS)</v>
      </c>
      <c r="F304" s="14">
        <v>22.5</v>
      </c>
      <c r="G304" s="15">
        <f>Parametros!$B$4</f>
        <v>28681</v>
      </c>
      <c r="H304" s="14">
        <f>INDEX(Clientes!$E$4:$E$15,MATCH(B304,Clientes!$A$4:$A$15,0))</f>
        <v>1</v>
      </c>
      <c r="I304" s="15">
        <f t="shared" si="4"/>
        <v>645323</v>
      </c>
    </row>
    <row r="305" spans="1:9" x14ac:dyDescent="0.3">
      <c r="A305" s="13">
        <v>45658</v>
      </c>
      <c r="B305" t="s">
        <v>29</v>
      </c>
      <c r="C305" t="s">
        <v>71</v>
      </c>
      <c r="D305" t="str">
        <f>INDEX(Clientes!$B$4:$B$15,MATCH(B305,Clientes!$A$4:$A$15,0))</f>
        <v>Distribuidora Los Andes S.A.</v>
      </c>
      <c r="E305" t="str">
        <f>INDEX(Catalogo_Servicios!$C$4:$C$24,MATCH(C305,Catalogo_Servicios!$A$4:$A$24,0))</f>
        <v>Conciliación anual de planillas (INS/CCSS)</v>
      </c>
      <c r="F305" s="14">
        <v>2</v>
      </c>
      <c r="G305" s="15">
        <f>Parametros!$B$4</f>
        <v>28681</v>
      </c>
      <c r="H305" s="14">
        <f>INDEX(Clientes!$E$4:$E$15,MATCH(B305,Clientes!$A$4:$A$15,0))</f>
        <v>1</v>
      </c>
      <c r="I305" s="15">
        <f t="shared" si="4"/>
        <v>57362</v>
      </c>
    </row>
    <row r="306" spans="1:9" x14ac:dyDescent="0.3">
      <c r="A306" s="13">
        <v>45658</v>
      </c>
      <c r="B306" t="s">
        <v>30</v>
      </c>
      <c r="C306" t="s">
        <v>68</v>
      </c>
      <c r="D306" t="str">
        <f>INDEX(Clientes!$B$4:$B$15,MATCH(B306,Clientes!$A$4:$A$15,0))</f>
        <v>Ferretería El Tornillo</v>
      </c>
      <c r="E306" t="str">
        <f>INDEX(Catalogo_Servicios!$C$4:$C$24,MATCH(C306,Catalogo_Servicios!$A$4:$A$24,0))</f>
        <v>Asesoría contable, financiera y tributaria</v>
      </c>
      <c r="F306" s="14">
        <v>1</v>
      </c>
      <c r="G306" s="15">
        <f>Parametros!$B$4</f>
        <v>28681</v>
      </c>
      <c r="H306" s="14">
        <f>INDEX(Clientes!$E$4:$E$15,MATCH(B306,Clientes!$A$4:$A$15,0))</f>
        <v>1</v>
      </c>
      <c r="I306" s="15">
        <f t="shared" si="4"/>
        <v>28681</v>
      </c>
    </row>
    <row r="307" spans="1:9" x14ac:dyDescent="0.3">
      <c r="A307" s="13">
        <v>45658</v>
      </c>
      <c r="B307" t="s">
        <v>30</v>
      </c>
      <c r="C307" t="s">
        <v>64</v>
      </c>
      <c r="D307" t="str">
        <f>INDEX(Clientes!$B$4:$B$15,MATCH(B307,Clientes!$A$4:$A$15,0))</f>
        <v>Ferretería El Tornillo</v>
      </c>
      <c r="E307" t="str">
        <f>INDEX(Catalogo_Servicios!$C$4:$C$24,MATCH(C307,Catalogo_Servicios!$A$4:$A$24,0))</f>
        <v>Estados financieros mensuales</v>
      </c>
      <c r="F307" s="14">
        <v>3</v>
      </c>
      <c r="G307" s="15">
        <f>Parametros!$B$4</f>
        <v>28681</v>
      </c>
      <c r="H307" s="14">
        <f>INDEX(Clientes!$E$4:$E$15,MATCH(B307,Clientes!$A$4:$A$15,0))</f>
        <v>1</v>
      </c>
      <c r="I307" s="15">
        <f t="shared" si="4"/>
        <v>86043</v>
      </c>
    </row>
    <row r="308" spans="1:9" x14ac:dyDescent="0.3">
      <c r="A308" s="13">
        <v>45658</v>
      </c>
      <c r="B308" t="s">
        <v>30</v>
      </c>
      <c r="C308" t="s">
        <v>65</v>
      </c>
      <c r="D308" t="str">
        <f>INDEX(Clientes!$B$4:$B$15,MATCH(B308,Clientes!$A$4:$A$15,0))</f>
        <v>Ferretería El Tornillo</v>
      </c>
      <c r="E308" t="str">
        <f>INDEX(Catalogo_Servicios!$C$4:$C$24,MATCH(C308,Catalogo_Servicios!$A$4:$A$24,0))</f>
        <v>Declaración mensual de IVA (D-104)</v>
      </c>
      <c r="F308" s="14">
        <v>0.75</v>
      </c>
      <c r="G308" s="15">
        <f>Parametros!$B$4</f>
        <v>28681</v>
      </c>
      <c r="H308" s="14">
        <f>INDEX(Clientes!$E$4:$E$15,MATCH(B308,Clientes!$A$4:$A$15,0))</f>
        <v>1</v>
      </c>
      <c r="I308" s="15">
        <f t="shared" si="4"/>
        <v>21511</v>
      </c>
    </row>
    <row r="309" spans="1:9" x14ac:dyDescent="0.3">
      <c r="A309" s="13">
        <v>45658</v>
      </c>
      <c r="B309" t="s">
        <v>30</v>
      </c>
      <c r="C309" t="s">
        <v>66</v>
      </c>
      <c r="D309" t="str">
        <f>INDEX(Clientes!$B$4:$B$15,MATCH(B309,Clientes!$A$4:$A$15,0))</f>
        <v>Ferretería El Tornillo</v>
      </c>
      <c r="E309" t="str">
        <f>INDEX(Catalogo_Servicios!$C$4:$C$24,MATCH(C309,Catalogo_Servicios!$A$4:$A$24,0))</f>
        <v>Declaración mensual de retenciones (D-103)</v>
      </c>
      <c r="F309" s="14">
        <v>0.25</v>
      </c>
      <c r="G309" s="15">
        <f>Parametros!$B$4</f>
        <v>28681</v>
      </c>
      <c r="H309" s="14">
        <f>INDEX(Clientes!$E$4:$E$15,MATCH(B309,Clientes!$A$4:$A$15,0))</f>
        <v>1</v>
      </c>
      <c r="I309" s="15">
        <f t="shared" si="4"/>
        <v>7170</v>
      </c>
    </row>
    <row r="310" spans="1:9" x14ac:dyDescent="0.3">
      <c r="A310" s="13">
        <v>45658</v>
      </c>
      <c r="B310" t="s">
        <v>31</v>
      </c>
      <c r="C310" t="s">
        <v>65</v>
      </c>
      <c r="D310" t="str">
        <f>INDEX(Clientes!$B$4:$B$15,MATCH(B310,Clientes!$A$4:$A$15,0))</f>
        <v>Clínica Dental Sonrisa</v>
      </c>
      <c r="E310" t="str">
        <f>INDEX(Catalogo_Servicios!$C$4:$C$24,MATCH(C310,Catalogo_Servicios!$A$4:$A$24,0))</f>
        <v>Declaración mensual de IVA (D-104)</v>
      </c>
      <c r="F310" s="14">
        <v>0.75</v>
      </c>
      <c r="G310" s="15">
        <f>Parametros!$B$4</f>
        <v>28681</v>
      </c>
      <c r="H310" s="14">
        <f>INDEX(Clientes!$E$4:$E$15,MATCH(B310,Clientes!$A$4:$A$15,0))</f>
        <v>1.1000000000000001</v>
      </c>
      <c r="I310" s="15">
        <f t="shared" si="4"/>
        <v>23662</v>
      </c>
    </row>
    <row r="311" spans="1:9" x14ac:dyDescent="0.3">
      <c r="A311" s="13">
        <v>45658</v>
      </c>
      <c r="B311" t="s">
        <v>32</v>
      </c>
      <c r="C311" t="s">
        <v>65</v>
      </c>
      <c r="D311" t="str">
        <f>INDEX(Clientes!$B$4:$B$15,MATCH(B311,Clientes!$A$4:$A$15,0))</f>
        <v>Soda y Restaurante Doña Lela</v>
      </c>
      <c r="E311" t="str">
        <f>INDEX(Catalogo_Servicios!$C$4:$C$24,MATCH(C311,Catalogo_Servicios!$A$4:$A$24,0))</f>
        <v>Declaración mensual de IVA (D-104)</v>
      </c>
      <c r="F311" s="14">
        <v>0.75</v>
      </c>
      <c r="G311" s="15">
        <f>Parametros!$B$4</f>
        <v>28681</v>
      </c>
      <c r="H311" s="14">
        <f>INDEX(Clientes!$E$4:$E$15,MATCH(B311,Clientes!$A$4:$A$15,0))</f>
        <v>1</v>
      </c>
      <c r="I311" s="15">
        <f t="shared" si="4"/>
        <v>21511</v>
      </c>
    </row>
    <row r="312" spans="1:9" x14ac:dyDescent="0.3">
      <c r="A312" s="13">
        <v>45658</v>
      </c>
      <c r="B312" t="s">
        <v>33</v>
      </c>
      <c r="C312" t="s">
        <v>65</v>
      </c>
      <c r="D312" t="str">
        <f>INDEX(Clientes!$B$4:$B$15,MATCH(B312,Clientes!$A$4:$A$15,0))</f>
        <v>Transportes Rápidos del Valle</v>
      </c>
      <c r="E312" t="str">
        <f>INDEX(Catalogo_Servicios!$C$4:$C$24,MATCH(C312,Catalogo_Servicios!$A$4:$A$24,0))</f>
        <v>Declaración mensual de IVA (D-104)</v>
      </c>
      <c r="F312" s="14">
        <v>0.75</v>
      </c>
      <c r="G312" s="15">
        <f>Parametros!$B$4</f>
        <v>28681</v>
      </c>
      <c r="H312" s="14">
        <f>INDEX(Clientes!$E$4:$E$15,MATCH(B312,Clientes!$A$4:$A$15,0))</f>
        <v>1</v>
      </c>
      <c r="I312" s="15">
        <f t="shared" si="4"/>
        <v>21511</v>
      </c>
    </row>
    <row r="313" spans="1:9" x14ac:dyDescent="0.3">
      <c r="A313" s="13">
        <v>45658</v>
      </c>
      <c r="B313" t="s">
        <v>33</v>
      </c>
      <c r="C313" t="s">
        <v>66</v>
      </c>
      <c r="D313" t="str">
        <f>INDEX(Clientes!$B$4:$B$15,MATCH(B313,Clientes!$A$4:$A$15,0))</f>
        <v>Transportes Rápidos del Valle</v>
      </c>
      <c r="E313" t="str">
        <f>INDEX(Catalogo_Servicios!$C$4:$C$24,MATCH(C313,Catalogo_Servicios!$A$4:$A$24,0))</f>
        <v>Declaración mensual de retenciones (D-103)</v>
      </c>
      <c r="F313" s="14">
        <v>0.25</v>
      </c>
      <c r="G313" s="15">
        <f>Parametros!$B$4</f>
        <v>28681</v>
      </c>
      <c r="H313" s="14">
        <f>INDEX(Clientes!$E$4:$E$15,MATCH(B313,Clientes!$A$4:$A$15,0))</f>
        <v>1</v>
      </c>
      <c r="I313" s="15">
        <f t="shared" si="4"/>
        <v>7170</v>
      </c>
    </row>
    <row r="314" spans="1:9" x14ac:dyDescent="0.3">
      <c r="A314" s="13">
        <v>45658</v>
      </c>
      <c r="B314" t="s">
        <v>33</v>
      </c>
      <c r="C314" t="s">
        <v>67</v>
      </c>
      <c r="D314" t="str">
        <f>INDEX(Clientes!$B$4:$B$15,MATCH(B314,Clientes!$A$4:$A$15,0))</f>
        <v>Transportes Rápidos del Valle</v>
      </c>
      <c r="E314" t="str">
        <f>INDEX(Catalogo_Servicios!$C$4:$C$24,MATCH(C314,Catalogo_Servicios!$A$4:$A$24,0))</f>
        <v>Cálculo de planillas y cargas sociales (CCSS/INS)</v>
      </c>
      <c r="F314" s="14">
        <v>5.5</v>
      </c>
      <c r="G314" s="15">
        <f>Parametros!$B$4</f>
        <v>28681</v>
      </c>
      <c r="H314" s="14">
        <f>INDEX(Clientes!$E$4:$E$15,MATCH(B314,Clientes!$A$4:$A$15,0))</f>
        <v>1</v>
      </c>
      <c r="I314" s="15">
        <f t="shared" si="4"/>
        <v>157746</v>
      </c>
    </row>
    <row r="315" spans="1:9" x14ac:dyDescent="0.3">
      <c r="A315" s="13">
        <v>45658</v>
      </c>
      <c r="B315" t="s">
        <v>33</v>
      </c>
      <c r="C315" t="s">
        <v>70</v>
      </c>
      <c r="D315" t="str">
        <f>INDEX(Clientes!$B$4:$B$15,MATCH(B315,Clientes!$A$4:$A$15,0))</f>
        <v>Transportes Rápidos del Valle</v>
      </c>
      <c r="E315" t="str">
        <f>INDEX(Catalogo_Servicios!$C$4:$C$24,MATCH(C315,Catalogo_Servicios!$A$4:$A$24,0))</f>
        <v>Estados financieros anuales / cierre fiscal</v>
      </c>
      <c r="F315" s="14">
        <v>6</v>
      </c>
      <c r="G315" s="15">
        <f>Parametros!$B$4</f>
        <v>28681</v>
      </c>
      <c r="H315" s="14">
        <f>INDEX(Clientes!$E$4:$E$15,MATCH(B315,Clientes!$A$4:$A$15,0))</f>
        <v>1</v>
      </c>
      <c r="I315" s="15">
        <f t="shared" si="4"/>
        <v>172086</v>
      </c>
    </row>
    <row r="316" spans="1:9" x14ac:dyDescent="0.3">
      <c r="A316" s="13">
        <v>45658</v>
      </c>
      <c r="B316" t="s">
        <v>33</v>
      </c>
      <c r="C316" t="s">
        <v>71</v>
      </c>
      <c r="D316" t="str">
        <f>INDEX(Clientes!$B$4:$B$15,MATCH(B316,Clientes!$A$4:$A$15,0))</f>
        <v>Transportes Rápidos del Valle</v>
      </c>
      <c r="E316" t="str">
        <f>INDEX(Catalogo_Servicios!$C$4:$C$24,MATCH(C316,Catalogo_Servicios!$A$4:$A$24,0))</f>
        <v>Conciliación anual de planillas (INS/CCSS)</v>
      </c>
      <c r="F316" s="14">
        <v>2</v>
      </c>
      <c r="G316" s="15">
        <f>Parametros!$B$4</f>
        <v>28681</v>
      </c>
      <c r="H316" s="14">
        <f>INDEX(Clientes!$E$4:$E$15,MATCH(B316,Clientes!$A$4:$A$15,0))</f>
        <v>1</v>
      </c>
      <c r="I316" s="15">
        <f t="shared" si="4"/>
        <v>57362</v>
      </c>
    </row>
    <row r="317" spans="1:9" x14ac:dyDescent="0.3">
      <c r="A317" s="13">
        <v>45658</v>
      </c>
      <c r="B317" t="s">
        <v>35</v>
      </c>
      <c r="C317" t="s">
        <v>65</v>
      </c>
      <c r="D317" t="str">
        <f>INDEX(Clientes!$B$4:$B$15,MATCH(B317,Clientes!$A$4:$A$15,0))</f>
        <v>Taller Mecánico Hermanos Mora</v>
      </c>
      <c r="E317" t="str">
        <f>INDEX(Catalogo_Servicios!$C$4:$C$24,MATCH(C317,Catalogo_Servicios!$A$4:$A$24,0))</f>
        <v>Declaración mensual de IVA (D-104)</v>
      </c>
      <c r="F317" s="14">
        <v>0.75</v>
      </c>
      <c r="G317" s="15">
        <f>Parametros!$B$4</f>
        <v>28681</v>
      </c>
      <c r="H317" s="14">
        <f>INDEX(Clientes!$E$4:$E$15,MATCH(B317,Clientes!$A$4:$A$15,0))</f>
        <v>1</v>
      </c>
      <c r="I317" s="15">
        <f t="shared" si="4"/>
        <v>21511</v>
      </c>
    </row>
    <row r="318" spans="1:9" x14ac:dyDescent="0.3">
      <c r="A318" s="13">
        <v>45658</v>
      </c>
      <c r="B318" t="s">
        <v>36</v>
      </c>
      <c r="C318" t="s">
        <v>65</v>
      </c>
      <c r="D318" t="str">
        <f>INDEX(Clientes!$B$4:$B$15,MATCH(B318,Clientes!$A$4:$A$15,0))</f>
        <v>Agroservicios Cartago</v>
      </c>
      <c r="E318" t="str">
        <f>INDEX(Catalogo_Servicios!$C$4:$C$24,MATCH(C318,Catalogo_Servicios!$A$4:$A$24,0))</f>
        <v>Declaración mensual de IVA (D-104)</v>
      </c>
      <c r="F318" s="14">
        <v>0.75</v>
      </c>
      <c r="G318" s="15">
        <f>Parametros!$B$4</f>
        <v>28681</v>
      </c>
      <c r="H318" s="14">
        <f>INDEX(Clientes!$E$4:$E$15,MATCH(B318,Clientes!$A$4:$A$15,0))</f>
        <v>1</v>
      </c>
      <c r="I318" s="15">
        <f t="shared" si="4"/>
        <v>21511</v>
      </c>
    </row>
    <row r="319" spans="1:9" x14ac:dyDescent="0.3">
      <c r="A319" s="13">
        <v>45658</v>
      </c>
      <c r="B319" t="s">
        <v>36</v>
      </c>
      <c r="C319" t="s">
        <v>66</v>
      </c>
      <c r="D319" t="str">
        <f>INDEX(Clientes!$B$4:$B$15,MATCH(B319,Clientes!$A$4:$A$15,0))</f>
        <v>Agroservicios Cartago</v>
      </c>
      <c r="E319" t="str">
        <f>INDEX(Catalogo_Servicios!$C$4:$C$24,MATCH(C319,Catalogo_Servicios!$A$4:$A$24,0))</f>
        <v>Declaración mensual de retenciones (D-103)</v>
      </c>
      <c r="F319" s="14">
        <v>0.25</v>
      </c>
      <c r="G319" s="15">
        <f>Parametros!$B$4</f>
        <v>28681</v>
      </c>
      <c r="H319" s="14">
        <f>INDEX(Clientes!$E$4:$E$15,MATCH(B319,Clientes!$A$4:$A$15,0))</f>
        <v>1</v>
      </c>
      <c r="I319" s="15">
        <f t="shared" si="4"/>
        <v>7170</v>
      </c>
    </row>
    <row r="320" spans="1:9" x14ac:dyDescent="0.3">
      <c r="A320" s="13">
        <v>45658</v>
      </c>
      <c r="B320" t="s">
        <v>38</v>
      </c>
      <c r="C320" t="s">
        <v>65</v>
      </c>
      <c r="D320" t="str">
        <f>INDEX(Clientes!$B$4:$B$15,MATCH(B320,Clientes!$A$4:$A$15,0))</f>
        <v>Panadería La Espiga</v>
      </c>
      <c r="E320" t="str">
        <f>INDEX(Catalogo_Servicios!$C$4:$C$24,MATCH(C320,Catalogo_Servicios!$A$4:$A$24,0))</f>
        <v>Declaración mensual de IVA (D-104)</v>
      </c>
      <c r="F320" s="14">
        <v>0.75</v>
      </c>
      <c r="G320" s="15">
        <f>Parametros!$B$4</f>
        <v>28681</v>
      </c>
      <c r="H320" s="14">
        <f>INDEX(Clientes!$E$4:$E$15,MATCH(B320,Clientes!$A$4:$A$15,0))</f>
        <v>1</v>
      </c>
      <c r="I320" s="15">
        <f t="shared" si="4"/>
        <v>21511</v>
      </c>
    </row>
    <row r="321" spans="1:9" x14ac:dyDescent="0.3">
      <c r="A321" s="13">
        <v>45658</v>
      </c>
      <c r="B321" t="s">
        <v>38</v>
      </c>
      <c r="C321" t="s">
        <v>67</v>
      </c>
      <c r="D321" t="str">
        <f>INDEX(Clientes!$B$4:$B$15,MATCH(B321,Clientes!$A$4:$A$15,0))</f>
        <v>Panadería La Espiga</v>
      </c>
      <c r="E321" t="str">
        <f>INDEX(Catalogo_Servicios!$C$4:$C$24,MATCH(C321,Catalogo_Servicios!$A$4:$A$24,0))</f>
        <v>Cálculo de planillas y cargas sociales (CCSS/INS)</v>
      </c>
      <c r="F321" s="14">
        <v>6.5</v>
      </c>
      <c r="G321" s="15">
        <f>Parametros!$B$4</f>
        <v>28681</v>
      </c>
      <c r="H321" s="14">
        <f>INDEX(Clientes!$E$4:$E$15,MATCH(B321,Clientes!$A$4:$A$15,0))</f>
        <v>1</v>
      </c>
      <c r="I321" s="15">
        <f t="shared" si="4"/>
        <v>186427</v>
      </c>
    </row>
    <row r="322" spans="1:9" x14ac:dyDescent="0.3">
      <c r="A322" s="13">
        <v>45658</v>
      </c>
      <c r="B322" t="s">
        <v>38</v>
      </c>
      <c r="C322" t="s">
        <v>71</v>
      </c>
      <c r="D322" t="str">
        <f>INDEX(Clientes!$B$4:$B$15,MATCH(B322,Clientes!$A$4:$A$15,0))</f>
        <v>Panadería La Espiga</v>
      </c>
      <c r="E322" t="str">
        <f>INDEX(Catalogo_Servicios!$C$4:$C$24,MATCH(C322,Catalogo_Servicios!$A$4:$A$24,0))</f>
        <v>Conciliación anual de planillas (INS/CCSS)</v>
      </c>
      <c r="F322" s="14">
        <v>2</v>
      </c>
      <c r="G322" s="15">
        <f>Parametros!$B$4</f>
        <v>28681</v>
      </c>
      <c r="H322" s="14">
        <f>INDEX(Clientes!$E$4:$E$15,MATCH(B322,Clientes!$A$4:$A$15,0))</f>
        <v>1</v>
      </c>
      <c r="I322" s="15">
        <f t="shared" si="4"/>
        <v>57362</v>
      </c>
    </row>
    <row r="323" spans="1:9" x14ac:dyDescent="0.3">
      <c r="A323" s="13">
        <v>45689</v>
      </c>
      <c r="B323" t="s">
        <v>29</v>
      </c>
      <c r="C323" t="s">
        <v>64</v>
      </c>
      <c r="D323" t="str">
        <f>INDEX(Clientes!$B$4:$B$15,MATCH(B323,Clientes!$A$4:$A$15,0))</f>
        <v>Distribuidora Los Andes S.A.</v>
      </c>
      <c r="E323" t="str">
        <f>INDEX(Catalogo_Servicios!$C$4:$C$24,MATCH(C323,Catalogo_Servicios!$A$4:$A$24,0))</f>
        <v>Estados financieros mensuales</v>
      </c>
      <c r="F323" s="14">
        <v>3</v>
      </c>
      <c r="G323" s="15">
        <f>Parametros!$B$4</f>
        <v>28681</v>
      </c>
      <c r="H323" s="14">
        <f>INDEX(Clientes!$E$4:$E$15,MATCH(B323,Clientes!$A$4:$A$15,0))</f>
        <v>1</v>
      </c>
      <c r="I323" s="15">
        <f t="shared" si="4"/>
        <v>86043</v>
      </c>
    </row>
    <row r="324" spans="1:9" x14ac:dyDescent="0.3">
      <c r="A324" s="13">
        <v>45689</v>
      </c>
      <c r="B324" t="s">
        <v>29</v>
      </c>
      <c r="C324" t="s">
        <v>65</v>
      </c>
      <c r="D324" t="str">
        <f>INDEX(Clientes!$B$4:$B$15,MATCH(B324,Clientes!$A$4:$A$15,0))</f>
        <v>Distribuidora Los Andes S.A.</v>
      </c>
      <c r="E324" t="str">
        <f>INDEX(Catalogo_Servicios!$C$4:$C$24,MATCH(C324,Catalogo_Servicios!$A$4:$A$24,0))</f>
        <v>Declaración mensual de IVA (D-104)</v>
      </c>
      <c r="F324" s="14">
        <v>0.75</v>
      </c>
      <c r="G324" s="15">
        <f>Parametros!$B$4</f>
        <v>28681</v>
      </c>
      <c r="H324" s="14">
        <f>INDEX(Clientes!$E$4:$E$15,MATCH(B324,Clientes!$A$4:$A$15,0))</f>
        <v>1</v>
      </c>
      <c r="I324" s="15">
        <f t="shared" ref="I324:I387" si="5">ROUND(F324*G324*H324,0)</f>
        <v>21511</v>
      </c>
    </row>
    <row r="325" spans="1:9" x14ac:dyDescent="0.3">
      <c r="A325" s="13">
        <v>45689</v>
      </c>
      <c r="B325" t="s">
        <v>29</v>
      </c>
      <c r="C325" t="s">
        <v>66</v>
      </c>
      <c r="D325" t="str">
        <f>INDEX(Clientes!$B$4:$B$15,MATCH(B325,Clientes!$A$4:$A$15,0))</f>
        <v>Distribuidora Los Andes S.A.</v>
      </c>
      <c r="E325" t="str">
        <f>INDEX(Catalogo_Servicios!$C$4:$C$24,MATCH(C325,Catalogo_Servicios!$A$4:$A$24,0))</f>
        <v>Declaración mensual de retenciones (D-103)</v>
      </c>
      <c r="F325" s="14">
        <v>0.25</v>
      </c>
      <c r="G325" s="15">
        <f>Parametros!$B$4</f>
        <v>28681</v>
      </c>
      <c r="H325" s="14">
        <f>INDEX(Clientes!$E$4:$E$15,MATCH(B325,Clientes!$A$4:$A$15,0))</f>
        <v>1</v>
      </c>
      <c r="I325" s="15">
        <f t="shared" si="5"/>
        <v>7170</v>
      </c>
    </row>
    <row r="326" spans="1:9" x14ac:dyDescent="0.3">
      <c r="A326" s="13">
        <v>45689</v>
      </c>
      <c r="B326" t="s">
        <v>29</v>
      </c>
      <c r="C326" t="s">
        <v>67</v>
      </c>
      <c r="D326" t="str">
        <f>INDEX(Clientes!$B$4:$B$15,MATCH(B326,Clientes!$A$4:$A$15,0))</f>
        <v>Distribuidora Los Andes S.A.</v>
      </c>
      <c r="E326" t="str">
        <f>INDEX(Catalogo_Servicios!$C$4:$C$24,MATCH(C326,Catalogo_Servicios!$A$4:$A$24,0))</f>
        <v>Cálculo de planillas y cargas sociales (CCSS/INS)</v>
      </c>
      <c r="F326" s="14">
        <v>21.5</v>
      </c>
      <c r="G326" s="15">
        <f>Parametros!$B$4</f>
        <v>28681</v>
      </c>
      <c r="H326" s="14">
        <f>INDEX(Clientes!$E$4:$E$15,MATCH(B326,Clientes!$A$4:$A$15,0))</f>
        <v>1</v>
      </c>
      <c r="I326" s="15">
        <f t="shared" si="5"/>
        <v>616642</v>
      </c>
    </row>
    <row r="327" spans="1:9" x14ac:dyDescent="0.3">
      <c r="A327" s="13">
        <v>45689</v>
      </c>
      <c r="B327" t="s">
        <v>29</v>
      </c>
      <c r="C327" t="s">
        <v>72</v>
      </c>
      <c r="D327" t="str">
        <f>INDEX(Clientes!$B$4:$B$15,MATCH(B327,Clientes!$A$4:$A$15,0))</f>
        <v>Distribuidora Los Andes S.A.</v>
      </c>
      <c r="E327" t="str">
        <f>INDEX(Catalogo_Servicios!$C$4:$C$24,MATCH(C327,Catalogo_Servicios!$A$4:$A$24,0))</f>
        <v>Declaración informativa anual (D-151)</v>
      </c>
      <c r="F327" s="14">
        <v>0.5</v>
      </c>
      <c r="G327" s="15">
        <f>Parametros!$B$4</f>
        <v>28681</v>
      </c>
      <c r="H327" s="14">
        <f>INDEX(Clientes!$E$4:$E$15,MATCH(B327,Clientes!$A$4:$A$15,0))</f>
        <v>1</v>
      </c>
      <c r="I327" s="15">
        <f t="shared" si="5"/>
        <v>14341</v>
      </c>
    </row>
    <row r="328" spans="1:9" x14ac:dyDescent="0.3">
      <c r="A328" s="13">
        <v>45689</v>
      </c>
      <c r="B328" t="s">
        <v>30</v>
      </c>
      <c r="C328" t="s">
        <v>64</v>
      </c>
      <c r="D328" t="str">
        <f>INDEX(Clientes!$B$4:$B$15,MATCH(B328,Clientes!$A$4:$A$15,0))</f>
        <v>Ferretería El Tornillo</v>
      </c>
      <c r="E328" t="str">
        <f>INDEX(Catalogo_Servicios!$C$4:$C$24,MATCH(C328,Catalogo_Servicios!$A$4:$A$24,0))</f>
        <v>Estados financieros mensuales</v>
      </c>
      <c r="F328" s="14">
        <v>3.25</v>
      </c>
      <c r="G328" s="15">
        <f>Parametros!$B$4</f>
        <v>28681</v>
      </c>
      <c r="H328" s="14">
        <f>INDEX(Clientes!$E$4:$E$15,MATCH(B328,Clientes!$A$4:$A$15,0))</f>
        <v>1</v>
      </c>
      <c r="I328" s="15">
        <f t="shared" si="5"/>
        <v>93213</v>
      </c>
    </row>
    <row r="329" spans="1:9" x14ac:dyDescent="0.3">
      <c r="A329" s="13">
        <v>45689</v>
      </c>
      <c r="B329" t="s">
        <v>30</v>
      </c>
      <c r="C329" t="s">
        <v>65</v>
      </c>
      <c r="D329" t="str">
        <f>INDEX(Clientes!$B$4:$B$15,MATCH(B329,Clientes!$A$4:$A$15,0))</f>
        <v>Ferretería El Tornillo</v>
      </c>
      <c r="E329" t="str">
        <f>INDEX(Catalogo_Servicios!$C$4:$C$24,MATCH(C329,Catalogo_Servicios!$A$4:$A$24,0))</f>
        <v>Declaración mensual de IVA (D-104)</v>
      </c>
      <c r="F329" s="14">
        <v>0.75</v>
      </c>
      <c r="G329" s="15">
        <f>Parametros!$B$4</f>
        <v>28681</v>
      </c>
      <c r="H329" s="14">
        <f>INDEX(Clientes!$E$4:$E$15,MATCH(B329,Clientes!$A$4:$A$15,0))</f>
        <v>1</v>
      </c>
      <c r="I329" s="15">
        <f t="shared" si="5"/>
        <v>21511</v>
      </c>
    </row>
    <row r="330" spans="1:9" x14ac:dyDescent="0.3">
      <c r="A330" s="13">
        <v>45689</v>
      </c>
      <c r="B330" t="s">
        <v>30</v>
      </c>
      <c r="C330" t="s">
        <v>66</v>
      </c>
      <c r="D330" t="str">
        <f>INDEX(Clientes!$B$4:$B$15,MATCH(B330,Clientes!$A$4:$A$15,0))</f>
        <v>Ferretería El Tornillo</v>
      </c>
      <c r="E330" t="str">
        <f>INDEX(Catalogo_Servicios!$C$4:$C$24,MATCH(C330,Catalogo_Servicios!$A$4:$A$24,0))</f>
        <v>Declaración mensual de retenciones (D-103)</v>
      </c>
      <c r="F330" s="14">
        <v>0.25</v>
      </c>
      <c r="G330" s="15">
        <f>Parametros!$B$4</f>
        <v>28681</v>
      </c>
      <c r="H330" s="14">
        <f>INDEX(Clientes!$E$4:$E$15,MATCH(B330,Clientes!$A$4:$A$15,0))</f>
        <v>1</v>
      </c>
      <c r="I330" s="15">
        <f t="shared" si="5"/>
        <v>7170</v>
      </c>
    </row>
    <row r="331" spans="1:9" x14ac:dyDescent="0.3">
      <c r="A331" s="13">
        <v>45689</v>
      </c>
      <c r="B331" t="s">
        <v>30</v>
      </c>
      <c r="C331" t="s">
        <v>72</v>
      </c>
      <c r="D331" t="str">
        <f>INDEX(Clientes!$B$4:$B$15,MATCH(B331,Clientes!$A$4:$A$15,0))</f>
        <v>Ferretería El Tornillo</v>
      </c>
      <c r="E331" t="str">
        <f>INDEX(Catalogo_Servicios!$C$4:$C$24,MATCH(C331,Catalogo_Servicios!$A$4:$A$24,0))</f>
        <v>Declaración informativa anual (D-151)</v>
      </c>
      <c r="F331" s="14">
        <v>0.5</v>
      </c>
      <c r="G331" s="15">
        <f>Parametros!$B$4</f>
        <v>28681</v>
      </c>
      <c r="H331" s="14">
        <f>INDEX(Clientes!$E$4:$E$15,MATCH(B331,Clientes!$A$4:$A$15,0))</f>
        <v>1</v>
      </c>
      <c r="I331" s="15">
        <f t="shared" si="5"/>
        <v>14341</v>
      </c>
    </row>
    <row r="332" spans="1:9" x14ac:dyDescent="0.3">
      <c r="A332" s="13">
        <v>45689</v>
      </c>
      <c r="B332" t="s">
        <v>31</v>
      </c>
      <c r="C332" t="s">
        <v>68</v>
      </c>
      <c r="D332" t="str">
        <f>INDEX(Clientes!$B$4:$B$15,MATCH(B332,Clientes!$A$4:$A$15,0))</f>
        <v>Clínica Dental Sonrisa</v>
      </c>
      <c r="E332" t="str">
        <f>INDEX(Catalogo_Servicios!$C$4:$C$24,MATCH(C332,Catalogo_Servicios!$A$4:$A$24,0))</f>
        <v>Asesoría contable, financiera y tributaria</v>
      </c>
      <c r="F332" s="14">
        <v>1.5</v>
      </c>
      <c r="G332" s="15">
        <f>Parametros!$B$4</f>
        <v>28681</v>
      </c>
      <c r="H332" s="14">
        <f>INDEX(Clientes!$E$4:$E$15,MATCH(B332,Clientes!$A$4:$A$15,0))</f>
        <v>1.1000000000000001</v>
      </c>
      <c r="I332" s="15">
        <f t="shared" si="5"/>
        <v>47324</v>
      </c>
    </row>
    <row r="333" spans="1:9" x14ac:dyDescent="0.3">
      <c r="A333" s="13">
        <v>45689</v>
      </c>
      <c r="B333" t="s">
        <v>31</v>
      </c>
      <c r="C333" t="s">
        <v>65</v>
      </c>
      <c r="D333" t="str">
        <f>INDEX(Clientes!$B$4:$B$15,MATCH(B333,Clientes!$A$4:$A$15,0))</f>
        <v>Clínica Dental Sonrisa</v>
      </c>
      <c r="E333" t="str">
        <f>INDEX(Catalogo_Servicios!$C$4:$C$24,MATCH(C333,Catalogo_Servicios!$A$4:$A$24,0))</f>
        <v>Declaración mensual de IVA (D-104)</v>
      </c>
      <c r="F333" s="14">
        <v>0.75</v>
      </c>
      <c r="G333" s="15">
        <f>Parametros!$B$4</f>
        <v>28681</v>
      </c>
      <c r="H333" s="14">
        <f>INDEX(Clientes!$E$4:$E$15,MATCH(B333,Clientes!$A$4:$A$15,0))</f>
        <v>1.1000000000000001</v>
      </c>
      <c r="I333" s="15">
        <f t="shared" si="5"/>
        <v>23662</v>
      </c>
    </row>
    <row r="334" spans="1:9" x14ac:dyDescent="0.3">
      <c r="A334" s="13">
        <v>45689</v>
      </c>
      <c r="B334" t="s">
        <v>31</v>
      </c>
      <c r="C334" t="s">
        <v>72</v>
      </c>
      <c r="D334" t="str">
        <f>INDEX(Clientes!$B$4:$B$15,MATCH(B334,Clientes!$A$4:$A$15,0))</f>
        <v>Clínica Dental Sonrisa</v>
      </c>
      <c r="E334" t="str">
        <f>INDEX(Catalogo_Servicios!$C$4:$C$24,MATCH(C334,Catalogo_Servicios!$A$4:$A$24,0))</f>
        <v>Declaración informativa anual (D-151)</v>
      </c>
      <c r="F334" s="14">
        <v>0.5</v>
      </c>
      <c r="G334" s="15">
        <f>Parametros!$B$4</f>
        <v>28681</v>
      </c>
      <c r="H334" s="14">
        <f>INDEX(Clientes!$E$4:$E$15,MATCH(B334,Clientes!$A$4:$A$15,0))</f>
        <v>1.1000000000000001</v>
      </c>
      <c r="I334" s="15">
        <f t="shared" si="5"/>
        <v>15775</v>
      </c>
    </row>
    <row r="335" spans="1:9" x14ac:dyDescent="0.3">
      <c r="A335" s="13">
        <v>45689</v>
      </c>
      <c r="B335" t="s">
        <v>32</v>
      </c>
      <c r="C335" t="s">
        <v>65</v>
      </c>
      <c r="D335" t="str">
        <f>INDEX(Clientes!$B$4:$B$15,MATCH(B335,Clientes!$A$4:$A$15,0))</f>
        <v>Soda y Restaurante Doña Lela</v>
      </c>
      <c r="E335" t="str">
        <f>INDEX(Catalogo_Servicios!$C$4:$C$24,MATCH(C335,Catalogo_Servicios!$A$4:$A$24,0))</f>
        <v>Declaración mensual de IVA (D-104)</v>
      </c>
      <c r="F335" s="14">
        <v>0.75</v>
      </c>
      <c r="G335" s="15">
        <f>Parametros!$B$4</f>
        <v>28681</v>
      </c>
      <c r="H335" s="14">
        <f>INDEX(Clientes!$E$4:$E$15,MATCH(B335,Clientes!$A$4:$A$15,0))</f>
        <v>1</v>
      </c>
      <c r="I335" s="15">
        <f t="shared" si="5"/>
        <v>21511</v>
      </c>
    </row>
    <row r="336" spans="1:9" x14ac:dyDescent="0.3">
      <c r="A336" s="13">
        <v>45689</v>
      </c>
      <c r="B336" t="s">
        <v>32</v>
      </c>
      <c r="C336" t="s">
        <v>72</v>
      </c>
      <c r="D336" t="str">
        <f>INDEX(Clientes!$B$4:$B$15,MATCH(B336,Clientes!$A$4:$A$15,0))</f>
        <v>Soda y Restaurante Doña Lela</v>
      </c>
      <c r="E336" t="str">
        <f>INDEX(Catalogo_Servicios!$C$4:$C$24,MATCH(C336,Catalogo_Servicios!$A$4:$A$24,0))</f>
        <v>Declaración informativa anual (D-151)</v>
      </c>
      <c r="F336" s="14">
        <v>0.5</v>
      </c>
      <c r="G336" s="15">
        <f>Parametros!$B$4</f>
        <v>28681</v>
      </c>
      <c r="H336" s="14">
        <f>INDEX(Clientes!$E$4:$E$15,MATCH(B336,Clientes!$A$4:$A$15,0))</f>
        <v>1</v>
      </c>
      <c r="I336" s="15">
        <f t="shared" si="5"/>
        <v>14341</v>
      </c>
    </row>
    <row r="337" spans="1:9" x14ac:dyDescent="0.3">
      <c r="A337" s="13">
        <v>45689</v>
      </c>
      <c r="B337" t="s">
        <v>33</v>
      </c>
      <c r="C337" t="s">
        <v>65</v>
      </c>
      <c r="D337" t="str">
        <f>INDEX(Clientes!$B$4:$B$15,MATCH(B337,Clientes!$A$4:$A$15,0))</f>
        <v>Transportes Rápidos del Valle</v>
      </c>
      <c r="E337" t="str">
        <f>INDEX(Catalogo_Servicios!$C$4:$C$24,MATCH(C337,Catalogo_Servicios!$A$4:$A$24,0))</f>
        <v>Declaración mensual de IVA (D-104)</v>
      </c>
      <c r="F337" s="14">
        <v>0.75</v>
      </c>
      <c r="G337" s="15">
        <f>Parametros!$B$4</f>
        <v>28681</v>
      </c>
      <c r="H337" s="14">
        <f>INDEX(Clientes!$E$4:$E$15,MATCH(B337,Clientes!$A$4:$A$15,0))</f>
        <v>1</v>
      </c>
      <c r="I337" s="15">
        <f t="shared" si="5"/>
        <v>21511</v>
      </c>
    </row>
    <row r="338" spans="1:9" x14ac:dyDescent="0.3">
      <c r="A338" s="13">
        <v>45689</v>
      </c>
      <c r="B338" t="s">
        <v>33</v>
      </c>
      <c r="C338" t="s">
        <v>66</v>
      </c>
      <c r="D338" t="str">
        <f>INDEX(Clientes!$B$4:$B$15,MATCH(B338,Clientes!$A$4:$A$15,0))</f>
        <v>Transportes Rápidos del Valle</v>
      </c>
      <c r="E338" t="str">
        <f>INDEX(Catalogo_Servicios!$C$4:$C$24,MATCH(C338,Catalogo_Servicios!$A$4:$A$24,0))</f>
        <v>Declaración mensual de retenciones (D-103)</v>
      </c>
      <c r="F338" s="14">
        <v>0.25</v>
      </c>
      <c r="G338" s="15">
        <f>Parametros!$B$4</f>
        <v>28681</v>
      </c>
      <c r="H338" s="14">
        <f>INDEX(Clientes!$E$4:$E$15,MATCH(B338,Clientes!$A$4:$A$15,0))</f>
        <v>1</v>
      </c>
      <c r="I338" s="15">
        <f t="shared" si="5"/>
        <v>7170</v>
      </c>
    </row>
    <row r="339" spans="1:9" x14ac:dyDescent="0.3">
      <c r="A339" s="13">
        <v>45689</v>
      </c>
      <c r="B339" t="s">
        <v>33</v>
      </c>
      <c r="C339" t="s">
        <v>67</v>
      </c>
      <c r="D339" t="str">
        <f>INDEX(Clientes!$B$4:$B$15,MATCH(B339,Clientes!$A$4:$A$15,0))</f>
        <v>Transportes Rápidos del Valle</v>
      </c>
      <c r="E339" t="str">
        <f>INDEX(Catalogo_Servicios!$C$4:$C$24,MATCH(C339,Catalogo_Servicios!$A$4:$A$24,0))</f>
        <v>Cálculo de planillas y cargas sociales (CCSS/INS)</v>
      </c>
      <c r="F339" s="14">
        <v>5.5</v>
      </c>
      <c r="G339" s="15">
        <f>Parametros!$B$4</f>
        <v>28681</v>
      </c>
      <c r="H339" s="14">
        <f>INDEX(Clientes!$E$4:$E$15,MATCH(B339,Clientes!$A$4:$A$15,0))</f>
        <v>1</v>
      </c>
      <c r="I339" s="15">
        <f t="shared" si="5"/>
        <v>157746</v>
      </c>
    </row>
    <row r="340" spans="1:9" x14ac:dyDescent="0.3">
      <c r="A340" s="13">
        <v>45689</v>
      </c>
      <c r="B340" t="s">
        <v>33</v>
      </c>
      <c r="C340" t="s">
        <v>72</v>
      </c>
      <c r="D340" t="str">
        <f>INDEX(Clientes!$B$4:$B$15,MATCH(B340,Clientes!$A$4:$A$15,0))</f>
        <v>Transportes Rápidos del Valle</v>
      </c>
      <c r="E340" t="str">
        <f>INDEX(Catalogo_Servicios!$C$4:$C$24,MATCH(C340,Catalogo_Servicios!$A$4:$A$24,0))</f>
        <v>Declaración informativa anual (D-151)</v>
      </c>
      <c r="F340" s="14">
        <v>0.5</v>
      </c>
      <c r="G340" s="15">
        <f>Parametros!$B$4</f>
        <v>28681</v>
      </c>
      <c r="H340" s="14">
        <f>INDEX(Clientes!$E$4:$E$15,MATCH(B340,Clientes!$A$4:$A$15,0))</f>
        <v>1</v>
      </c>
      <c r="I340" s="15">
        <f t="shared" si="5"/>
        <v>14341</v>
      </c>
    </row>
    <row r="341" spans="1:9" x14ac:dyDescent="0.3">
      <c r="A341" s="13">
        <v>45689</v>
      </c>
      <c r="B341" t="s">
        <v>35</v>
      </c>
      <c r="C341" t="s">
        <v>65</v>
      </c>
      <c r="D341" t="str">
        <f>INDEX(Clientes!$B$4:$B$15,MATCH(B341,Clientes!$A$4:$A$15,0))</f>
        <v>Taller Mecánico Hermanos Mora</v>
      </c>
      <c r="E341" t="str">
        <f>INDEX(Catalogo_Servicios!$C$4:$C$24,MATCH(C341,Catalogo_Servicios!$A$4:$A$24,0))</f>
        <v>Declaración mensual de IVA (D-104)</v>
      </c>
      <c r="F341" s="14">
        <v>0.75</v>
      </c>
      <c r="G341" s="15">
        <f>Parametros!$B$4</f>
        <v>28681</v>
      </c>
      <c r="H341" s="14">
        <f>INDEX(Clientes!$E$4:$E$15,MATCH(B341,Clientes!$A$4:$A$15,0))</f>
        <v>1</v>
      </c>
      <c r="I341" s="15">
        <f t="shared" si="5"/>
        <v>21511</v>
      </c>
    </row>
    <row r="342" spans="1:9" x14ac:dyDescent="0.3">
      <c r="A342" s="13">
        <v>45689</v>
      </c>
      <c r="B342" t="s">
        <v>35</v>
      </c>
      <c r="C342" t="s">
        <v>72</v>
      </c>
      <c r="D342" t="str">
        <f>INDEX(Clientes!$B$4:$B$15,MATCH(B342,Clientes!$A$4:$A$15,0))</f>
        <v>Taller Mecánico Hermanos Mora</v>
      </c>
      <c r="E342" t="str">
        <f>INDEX(Catalogo_Servicios!$C$4:$C$24,MATCH(C342,Catalogo_Servicios!$A$4:$A$24,0))</f>
        <v>Declaración informativa anual (D-151)</v>
      </c>
      <c r="F342" s="14">
        <v>0.5</v>
      </c>
      <c r="G342" s="15">
        <f>Parametros!$B$4</f>
        <v>28681</v>
      </c>
      <c r="H342" s="14">
        <f>INDEX(Clientes!$E$4:$E$15,MATCH(B342,Clientes!$A$4:$A$15,0))</f>
        <v>1</v>
      </c>
      <c r="I342" s="15">
        <f t="shared" si="5"/>
        <v>14341</v>
      </c>
    </row>
    <row r="343" spans="1:9" x14ac:dyDescent="0.3">
      <c r="A343" s="13">
        <v>45689</v>
      </c>
      <c r="B343" t="s">
        <v>36</v>
      </c>
      <c r="C343" t="s">
        <v>65</v>
      </c>
      <c r="D343" t="str">
        <f>INDEX(Clientes!$B$4:$B$15,MATCH(B343,Clientes!$A$4:$A$15,0))</f>
        <v>Agroservicios Cartago</v>
      </c>
      <c r="E343" t="str">
        <f>INDEX(Catalogo_Servicios!$C$4:$C$24,MATCH(C343,Catalogo_Servicios!$A$4:$A$24,0))</f>
        <v>Declaración mensual de IVA (D-104)</v>
      </c>
      <c r="F343" s="14">
        <v>0.75</v>
      </c>
      <c r="G343" s="15">
        <f>Parametros!$B$4</f>
        <v>28681</v>
      </c>
      <c r="H343" s="14">
        <f>INDEX(Clientes!$E$4:$E$15,MATCH(B343,Clientes!$A$4:$A$15,0))</f>
        <v>1</v>
      </c>
      <c r="I343" s="15">
        <f t="shared" si="5"/>
        <v>21511</v>
      </c>
    </row>
    <row r="344" spans="1:9" x14ac:dyDescent="0.3">
      <c r="A344" s="13">
        <v>45689</v>
      </c>
      <c r="B344" t="s">
        <v>36</v>
      </c>
      <c r="C344" t="s">
        <v>66</v>
      </c>
      <c r="D344" t="str">
        <f>INDEX(Clientes!$B$4:$B$15,MATCH(B344,Clientes!$A$4:$A$15,0))</f>
        <v>Agroservicios Cartago</v>
      </c>
      <c r="E344" t="str">
        <f>INDEX(Catalogo_Servicios!$C$4:$C$24,MATCH(C344,Catalogo_Servicios!$A$4:$A$24,0))</f>
        <v>Declaración mensual de retenciones (D-103)</v>
      </c>
      <c r="F344" s="14">
        <v>0.25</v>
      </c>
      <c r="G344" s="15">
        <f>Parametros!$B$4</f>
        <v>28681</v>
      </c>
      <c r="H344" s="14">
        <f>INDEX(Clientes!$E$4:$E$15,MATCH(B344,Clientes!$A$4:$A$15,0))</f>
        <v>1</v>
      </c>
      <c r="I344" s="15">
        <f t="shared" si="5"/>
        <v>7170</v>
      </c>
    </row>
    <row r="345" spans="1:9" x14ac:dyDescent="0.3">
      <c r="A345" s="13">
        <v>45689</v>
      </c>
      <c r="B345" t="s">
        <v>36</v>
      </c>
      <c r="C345" t="s">
        <v>72</v>
      </c>
      <c r="D345" t="str">
        <f>INDEX(Clientes!$B$4:$B$15,MATCH(B345,Clientes!$A$4:$A$15,0))</f>
        <v>Agroservicios Cartago</v>
      </c>
      <c r="E345" t="str">
        <f>INDEX(Catalogo_Servicios!$C$4:$C$24,MATCH(C345,Catalogo_Servicios!$A$4:$A$24,0))</f>
        <v>Declaración informativa anual (D-151)</v>
      </c>
      <c r="F345" s="14">
        <v>0.5</v>
      </c>
      <c r="G345" s="15">
        <f>Parametros!$B$4</f>
        <v>28681</v>
      </c>
      <c r="H345" s="14">
        <f>INDEX(Clientes!$E$4:$E$15,MATCH(B345,Clientes!$A$4:$A$15,0))</f>
        <v>1</v>
      </c>
      <c r="I345" s="15">
        <f t="shared" si="5"/>
        <v>14341</v>
      </c>
    </row>
    <row r="346" spans="1:9" x14ac:dyDescent="0.3">
      <c r="A346" s="13">
        <v>45689</v>
      </c>
      <c r="B346" t="s">
        <v>38</v>
      </c>
      <c r="C346" t="s">
        <v>65</v>
      </c>
      <c r="D346" t="str">
        <f>INDEX(Clientes!$B$4:$B$15,MATCH(B346,Clientes!$A$4:$A$15,0))</f>
        <v>Panadería La Espiga</v>
      </c>
      <c r="E346" t="str">
        <f>INDEX(Catalogo_Servicios!$C$4:$C$24,MATCH(C346,Catalogo_Servicios!$A$4:$A$24,0))</f>
        <v>Declaración mensual de IVA (D-104)</v>
      </c>
      <c r="F346" s="14">
        <v>0.75</v>
      </c>
      <c r="G346" s="15">
        <f>Parametros!$B$4</f>
        <v>28681</v>
      </c>
      <c r="H346" s="14">
        <f>INDEX(Clientes!$E$4:$E$15,MATCH(B346,Clientes!$A$4:$A$15,0))</f>
        <v>1</v>
      </c>
      <c r="I346" s="15">
        <f t="shared" si="5"/>
        <v>21511</v>
      </c>
    </row>
    <row r="347" spans="1:9" x14ac:dyDescent="0.3">
      <c r="A347" s="13">
        <v>45689</v>
      </c>
      <c r="B347" t="s">
        <v>38</v>
      </c>
      <c r="C347" t="s">
        <v>67</v>
      </c>
      <c r="D347" t="str">
        <f>INDEX(Clientes!$B$4:$B$15,MATCH(B347,Clientes!$A$4:$A$15,0))</f>
        <v>Panadería La Espiga</v>
      </c>
      <c r="E347" t="str">
        <f>INDEX(Catalogo_Servicios!$C$4:$C$24,MATCH(C347,Catalogo_Servicios!$A$4:$A$24,0))</f>
        <v>Cálculo de planillas y cargas sociales (CCSS/INS)</v>
      </c>
      <c r="F347" s="14">
        <v>6.5</v>
      </c>
      <c r="G347" s="15">
        <f>Parametros!$B$4</f>
        <v>28681</v>
      </c>
      <c r="H347" s="14">
        <f>INDEX(Clientes!$E$4:$E$15,MATCH(B347,Clientes!$A$4:$A$15,0))</f>
        <v>1</v>
      </c>
      <c r="I347" s="15">
        <f t="shared" si="5"/>
        <v>186427</v>
      </c>
    </row>
    <row r="348" spans="1:9" x14ac:dyDescent="0.3">
      <c r="A348" s="13">
        <v>45689</v>
      </c>
      <c r="B348" t="s">
        <v>38</v>
      </c>
      <c r="C348" t="s">
        <v>72</v>
      </c>
      <c r="D348" t="str">
        <f>INDEX(Clientes!$B$4:$B$15,MATCH(B348,Clientes!$A$4:$A$15,0))</f>
        <v>Panadería La Espiga</v>
      </c>
      <c r="E348" t="str">
        <f>INDEX(Catalogo_Servicios!$C$4:$C$24,MATCH(C348,Catalogo_Servicios!$A$4:$A$24,0))</f>
        <v>Declaración informativa anual (D-151)</v>
      </c>
      <c r="F348" s="14">
        <v>0.5</v>
      </c>
      <c r="G348" s="15">
        <f>Parametros!$B$4</f>
        <v>28681</v>
      </c>
      <c r="H348" s="14">
        <f>INDEX(Clientes!$E$4:$E$15,MATCH(B348,Clientes!$A$4:$A$15,0))</f>
        <v>1</v>
      </c>
      <c r="I348" s="15">
        <f t="shared" si="5"/>
        <v>14341</v>
      </c>
    </row>
    <row r="349" spans="1:9" x14ac:dyDescent="0.3">
      <c r="A349" s="13">
        <v>45689</v>
      </c>
      <c r="B349" t="s">
        <v>40</v>
      </c>
      <c r="C349" t="s">
        <v>75</v>
      </c>
      <c r="D349" t="str">
        <f>INDEX(Clientes!$B$4:$B$15,MATCH(B349,Clientes!$A$4:$A$15,0))</f>
        <v>Veterinaria Mascotas Felices</v>
      </c>
      <c r="E349" t="str">
        <f>INDEX(Catalogo_Servicios!$C$4:$C$24,MATCH(C349,Catalogo_Servicios!$A$4:$A$24,0))</f>
        <v>Certificación para PYME / Régimen simplificado (MEIC)</v>
      </c>
      <c r="F349" s="14">
        <v>3</v>
      </c>
      <c r="G349" s="15">
        <f>Parametros!$B$4</f>
        <v>28681</v>
      </c>
      <c r="H349" s="14">
        <f>INDEX(Clientes!$E$4:$E$15,MATCH(B349,Clientes!$A$4:$A$15,0))</f>
        <v>1.05</v>
      </c>
      <c r="I349" s="15">
        <f t="shared" si="5"/>
        <v>90345</v>
      </c>
    </row>
    <row r="350" spans="1:9" x14ac:dyDescent="0.3">
      <c r="A350" s="13">
        <v>45717</v>
      </c>
      <c r="B350" t="s">
        <v>29</v>
      </c>
      <c r="C350" t="s">
        <v>64</v>
      </c>
      <c r="D350" t="str">
        <f>INDEX(Clientes!$B$4:$B$15,MATCH(B350,Clientes!$A$4:$A$15,0))</f>
        <v>Distribuidora Los Andes S.A.</v>
      </c>
      <c r="E350" t="str">
        <f>INDEX(Catalogo_Servicios!$C$4:$C$24,MATCH(C350,Catalogo_Servicios!$A$4:$A$24,0))</f>
        <v>Estados financieros mensuales</v>
      </c>
      <c r="F350" s="14">
        <v>3</v>
      </c>
      <c r="G350" s="15">
        <f>Parametros!$B$4</f>
        <v>28681</v>
      </c>
      <c r="H350" s="14">
        <f>INDEX(Clientes!$E$4:$E$15,MATCH(B350,Clientes!$A$4:$A$15,0))</f>
        <v>1</v>
      </c>
      <c r="I350" s="15">
        <f t="shared" si="5"/>
        <v>86043</v>
      </c>
    </row>
    <row r="351" spans="1:9" x14ac:dyDescent="0.3">
      <c r="A351" s="13">
        <v>45717</v>
      </c>
      <c r="B351" t="s">
        <v>29</v>
      </c>
      <c r="C351" t="s">
        <v>65</v>
      </c>
      <c r="D351" t="str">
        <f>INDEX(Clientes!$B$4:$B$15,MATCH(B351,Clientes!$A$4:$A$15,0))</f>
        <v>Distribuidora Los Andes S.A.</v>
      </c>
      <c r="E351" t="str">
        <f>INDEX(Catalogo_Servicios!$C$4:$C$24,MATCH(C351,Catalogo_Servicios!$A$4:$A$24,0))</f>
        <v>Declaración mensual de IVA (D-104)</v>
      </c>
      <c r="F351" s="14">
        <v>0.75</v>
      </c>
      <c r="G351" s="15">
        <f>Parametros!$B$4</f>
        <v>28681</v>
      </c>
      <c r="H351" s="14">
        <f>INDEX(Clientes!$E$4:$E$15,MATCH(B351,Clientes!$A$4:$A$15,0))</f>
        <v>1</v>
      </c>
      <c r="I351" s="15">
        <f t="shared" si="5"/>
        <v>21511</v>
      </c>
    </row>
    <row r="352" spans="1:9" x14ac:dyDescent="0.3">
      <c r="A352" s="13">
        <v>45717</v>
      </c>
      <c r="B352" t="s">
        <v>29</v>
      </c>
      <c r="C352" t="s">
        <v>66</v>
      </c>
      <c r="D352" t="str">
        <f>INDEX(Clientes!$B$4:$B$15,MATCH(B352,Clientes!$A$4:$A$15,0))</f>
        <v>Distribuidora Los Andes S.A.</v>
      </c>
      <c r="E352" t="str">
        <f>INDEX(Catalogo_Servicios!$C$4:$C$24,MATCH(C352,Catalogo_Servicios!$A$4:$A$24,0))</f>
        <v>Declaración mensual de retenciones (D-103)</v>
      </c>
      <c r="F352" s="14">
        <v>0.25</v>
      </c>
      <c r="G352" s="15">
        <f>Parametros!$B$4</f>
        <v>28681</v>
      </c>
      <c r="H352" s="14">
        <f>INDEX(Clientes!$E$4:$E$15,MATCH(B352,Clientes!$A$4:$A$15,0))</f>
        <v>1</v>
      </c>
      <c r="I352" s="15">
        <f t="shared" si="5"/>
        <v>7170</v>
      </c>
    </row>
    <row r="353" spans="1:9" x14ac:dyDescent="0.3">
      <c r="A353" s="13">
        <v>45717</v>
      </c>
      <c r="B353" t="s">
        <v>29</v>
      </c>
      <c r="C353" t="s">
        <v>67</v>
      </c>
      <c r="D353" t="str">
        <f>INDEX(Clientes!$B$4:$B$15,MATCH(B353,Clientes!$A$4:$A$15,0))</f>
        <v>Distribuidora Los Andes S.A.</v>
      </c>
      <c r="E353" t="str">
        <f>INDEX(Catalogo_Servicios!$C$4:$C$24,MATCH(C353,Catalogo_Servicios!$A$4:$A$24,0))</f>
        <v>Cálculo de planillas y cargas sociales (CCSS/INS)</v>
      </c>
      <c r="F353" s="14">
        <v>21</v>
      </c>
      <c r="G353" s="15">
        <f>Parametros!$B$4</f>
        <v>28681</v>
      </c>
      <c r="H353" s="14">
        <f>INDEX(Clientes!$E$4:$E$15,MATCH(B353,Clientes!$A$4:$A$15,0))</f>
        <v>1</v>
      </c>
      <c r="I353" s="15">
        <f t="shared" si="5"/>
        <v>602301</v>
      </c>
    </row>
    <row r="354" spans="1:9" x14ac:dyDescent="0.3">
      <c r="A354" s="13">
        <v>45717</v>
      </c>
      <c r="B354" t="s">
        <v>30</v>
      </c>
      <c r="C354" t="s">
        <v>68</v>
      </c>
      <c r="D354" t="str">
        <f>INDEX(Clientes!$B$4:$B$15,MATCH(B354,Clientes!$A$4:$A$15,0))</f>
        <v>Ferretería El Tornillo</v>
      </c>
      <c r="E354" t="str">
        <f>INDEX(Catalogo_Servicios!$C$4:$C$24,MATCH(C354,Catalogo_Servicios!$A$4:$A$24,0))</f>
        <v>Asesoría contable, financiera y tributaria</v>
      </c>
      <c r="F354" s="14">
        <v>2</v>
      </c>
      <c r="G354" s="15">
        <f>Parametros!$B$4</f>
        <v>28681</v>
      </c>
      <c r="H354" s="14">
        <f>INDEX(Clientes!$E$4:$E$15,MATCH(B354,Clientes!$A$4:$A$15,0))</f>
        <v>1</v>
      </c>
      <c r="I354" s="15">
        <f t="shared" si="5"/>
        <v>57362</v>
      </c>
    </row>
    <row r="355" spans="1:9" x14ac:dyDescent="0.3">
      <c r="A355" s="13">
        <v>45717</v>
      </c>
      <c r="B355" t="s">
        <v>30</v>
      </c>
      <c r="C355" t="s">
        <v>64</v>
      </c>
      <c r="D355" t="str">
        <f>INDEX(Clientes!$B$4:$B$15,MATCH(B355,Clientes!$A$4:$A$15,0))</f>
        <v>Ferretería El Tornillo</v>
      </c>
      <c r="E355" t="str">
        <f>INDEX(Catalogo_Servicios!$C$4:$C$24,MATCH(C355,Catalogo_Servicios!$A$4:$A$24,0))</f>
        <v>Estados financieros mensuales</v>
      </c>
      <c r="F355" s="14">
        <v>3</v>
      </c>
      <c r="G355" s="15">
        <f>Parametros!$B$4</f>
        <v>28681</v>
      </c>
      <c r="H355" s="14">
        <f>INDEX(Clientes!$E$4:$E$15,MATCH(B355,Clientes!$A$4:$A$15,0))</f>
        <v>1</v>
      </c>
      <c r="I355" s="15">
        <f t="shared" si="5"/>
        <v>86043</v>
      </c>
    </row>
    <row r="356" spans="1:9" x14ac:dyDescent="0.3">
      <c r="A356" s="13">
        <v>45717</v>
      </c>
      <c r="B356" t="s">
        <v>30</v>
      </c>
      <c r="C356" t="s">
        <v>65</v>
      </c>
      <c r="D356" t="str">
        <f>INDEX(Clientes!$B$4:$B$15,MATCH(B356,Clientes!$A$4:$A$15,0))</f>
        <v>Ferretería El Tornillo</v>
      </c>
      <c r="E356" t="str">
        <f>INDEX(Catalogo_Servicios!$C$4:$C$24,MATCH(C356,Catalogo_Servicios!$A$4:$A$24,0))</f>
        <v>Declaración mensual de IVA (D-104)</v>
      </c>
      <c r="F356" s="14">
        <v>0.75</v>
      </c>
      <c r="G356" s="15">
        <f>Parametros!$B$4</f>
        <v>28681</v>
      </c>
      <c r="H356" s="14">
        <f>INDEX(Clientes!$E$4:$E$15,MATCH(B356,Clientes!$A$4:$A$15,0))</f>
        <v>1</v>
      </c>
      <c r="I356" s="15">
        <f t="shared" si="5"/>
        <v>21511</v>
      </c>
    </row>
    <row r="357" spans="1:9" x14ac:dyDescent="0.3">
      <c r="A357" s="13">
        <v>45717</v>
      </c>
      <c r="B357" t="s">
        <v>30</v>
      </c>
      <c r="C357" t="s">
        <v>66</v>
      </c>
      <c r="D357" t="str">
        <f>INDEX(Clientes!$B$4:$B$15,MATCH(B357,Clientes!$A$4:$A$15,0))</f>
        <v>Ferretería El Tornillo</v>
      </c>
      <c r="E357" t="str">
        <f>INDEX(Catalogo_Servicios!$C$4:$C$24,MATCH(C357,Catalogo_Servicios!$A$4:$A$24,0))</f>
        <v>Declaración mensual de retenciones (D-103)</v>
      </c>
      <c r="F357" s="14">
        <v>0.25</v>
      </c>
      <c r="G357" s="15">
        <f>Parametros!$B$4</f>
        <v>28681</v>
      </c>
      <c r="H357" s="14">
        <f>INDEX(Clientes!$E$4:$E$15,MATCH(B357,Clientes!$A$4:$A$15,0))</f>
        <v>1</v>
      </c>
      <c r="I357" s="15">
        <f t="shared" si="5"/>
        <v>7170</v>
      </c>
    </row>
    <row r="358" spans="1:9" x14ac:dyDescent="0.3">
      <c r="A358" s="13">
        <v>45717</v>
      </c>
      <c r="B358" t="s">
        <v>30</v>
      </c>
      <c r="C358" t="s">
        <v>69</v>
      </c>
      <c r="D358" t="str">
        <f>INDEX(Clientes!$B$4:$B$15,MATCH(B358,Clientes!$A$4:$A$15,0))</f>
        <v>Ferretería El Tornillo</v>
      </c>
      <c r="E358" t="str">
        <f>INDEX(Catalogo_Servicios!$C$4:$C$24,MATCH(C358,Catalogo_Servicios!$A$4:$A$24,0))</f>
        <v>Declaración anual de renta (D-101 / D-105)</v>
      </c>
      <c r="F358" s="14">
        <v>1.5</v>
      </c>
      <c r="G358" s="15">
        <f>Parametros!$B$4</f>
        <v>28681</v>
      </c>
      <c r="H358" s="14">
        <f>INDEX(Clientes!$E$4:$E$15,MATCH(B358,Clientes!$A$4:$A$15,0))</f>
        <v>1</v>
      </c>
      <c r="I358" s="15">
        <f t="shared" si="5"/>
        <v>43022</v>
      </c>
    </row>
    <row r="359" spans="1:9" x14ac:dyDescent="0.3">
      <c r="A359" s="13">
        <v>45717</v>
      </c>
      <c r="B359" t="s">
        <v>30</v>
      </c>
      <c r="C359" t="s">
        <v>70</v>
      </c>
      <c r="D359" t="str">
        <f>INDEX(Clientes!$B$4:$B$15,MATCH(B359,Clientes!$A$4:$A$15,0))</f>
        <v>Ferretería El Tornillo</v>
      </c>
      <c r="E359" t="str">
        <f>INDEX(Catalogo_Servicios!$C$4:$C$24,MATCH(C359,Catalogo_Servicios!$A$4:$A$24,0))</f>
        <v>Estados financieros anuales / cierre fiscal</v>
      </c>
      <c r="F359" s="14">
        <v>6</v>
      </c>
      <c r="G359" s="15">
        <f>Parametros!$B$4</f>
        <v>28681</v>
      </c>
      <c r="H359" s="14">
        <f>INDEX(Clientes!$E$4:$E$15,MATCH(B359,Clientes!$A$4:$A$15,0))</f>
        <v>1</v>
      </c>
      <c r="I359" s="15">
        <f t="shared" si="5"/>
        <v>172086</v>
      </c>
    </row>
    <row r="360" spans="1:9" x14ac:dyDescent="0.3">
      <c r="A360" s="13">
        <v>45717</v>
      </c>
      <c r="B360" t="s">
        <v>31</v>
      </c>
      <c r="C360" t="s">
        <v>65</v>
      </c>
      <c r="D360" t="str">
        <f>INDEX(Clientes!$B$4:$B$15,MATCH(B360,Clientes!$A$4:$A$15,0))</f>
        <v>Clínica Dental Sonrisa</v>
      </c>
      <c r="E360" t="str">
        <f>INDEX(Catalogo_Servicios!$C$4:$C$24,MATCH(C360,Catalogo_Servicios!$A$4:$A$24,0))</f>
        <v>Declaración mensual de IVA (D-104)</v>
      </c>
      <c r="F360" s="14">
        <v>0.75</v>
      </c>
      <c r="G360" s="15">
        <f>Parametros!$B$4</f>
        <v>28681</v>
      </c>
      <c r="H360" s="14">
        <f>INDEX(Clientes!$E$4:$E$15,MATCH(B360,Clientes!$A$4:$A$15,0))</f>
        <v>1.1000000000000001</v>
      </c>
      <c r="I360" s="15">
        <f t="shared" si="5"/>
        <v>23662</v>
      </c>
    </row>
    <row r="361" spans="1:9" x14ac:dyDescent="0.3">
      <c r="A361" s="13">
        <v>45717</v>
      </c>
      <c r="B361" t="s">
        <v>32</v>
      </c>
      <c r="C361" t="s">
        <v>65</v>
      </c>
      <c r="D361" t="str">
        <f>INDEX(Clientes!$B$4:$B$15,MATCH(B361,Clientes!$A$4:$A$15,0))</f>
        <v>Soda y Restaurante Doña Lela</v>
      </c>
      <c r="E361" t="str">
        <f>INDEX(Catalogo_Servicios!$C$4:$C$24,MATCH(C361,Catalogo_Servicios!$A$4:$A$24,0))</f>
        <v>Declaración mensual de IVA (D-104)</v>
      </c>
      <c r="F361" s="14">
        <v>0.75</v>
      </c>
      <c r="G361" s="15">
        <f>Parametros!$B$4</f>
        <v>28681</v>
      </c>
      <c r="H361" s="14">
        <f>INDEX(Clientes!$E$4:$E$15,MATCH(B361,Clientes!$A$4:$A$15,0))</f>
        <v>1</v>
      </c>
      <c r="I361" s="15">
        <f t="shared" si="5"/>
        <v>21511</v>
      </c>
    </row>
    <row r="362" spans="1:9" x14ac:dyDescent="0.3">
      <c r="A362" s="13">
        <v>45717</v>
      </c>
      <c r="B362" t="s">
        <v>33</v>
      </c>
      <c r="C362" t="s">
        <v>65</v>
      </c>
      <c r="D362" t="str">
        <f>INDEX(Clientes!$B$4:$B$15,MATCH(B362,Clientes!$A$4:$A$15,0))</f>
        <v>Transportes Rápidos del Valle</v>
      </c>
      <c r="E362" t="str">
        <f>INDEX(Catalogo_Servicios!$C$4:$C$24,MATCH(C362,Catalogo_Servicios!$A$4:$A$24,0))</f>
        <v>Declaración mensual de IVA (D-104)</v>
      </c>
      <c r="F362" s="14">
        <v>0.75</v>
      </c>
      <c r="G362" s="15">
        <f>Parametros!$B$4</f>
        <v>28681</v>
      </c>
      <c r="H362" s="14">
        <f>INDEX(Clientes!$E$4:$E$15,MATCH(B362,Clientes!$A$4:$A$15,0))</f>
        <v>1</v>
      </c>
      <c r="I362" s="15">
        <f t="shared" si="5"/>
        <v>21511</v>
      </c>
    </row>
    <row r="363" spans="1:9" x14ac:dyDescent="0.3">
      <c r="A363" s="13">
        <v>45717</v>
      </c>
      <c r="B363" t="s">
        <v>33</v>
      </c>
      <c r="C363" t="s">
        <v>66</v>
      </c>
      <c r="D363" t="str">
        <f>INDEX(Clientes!$B$4:$B$15,MATCH(B363,Clientes!$A$4:$A$15,0))</f>
        <v>Transportes Rápidos del Valle</v>
      </c>
      <c r="E363" t="str">
        <f>INDEX(Catalogo_Servicios!$C$4:$C$24,MATCH(C363,Catalogo_Servicios!$A$4:$A$24,0))</f>
        <v>Declaración mensual de retenciones (D-103)</v>
      </c>
      <c r="F363" s="14">
        <v>0.25</v>
      </c>
      <c r="G363" s="15">
        <f>Parametros!$B$4</f>
        <v>28681</v>
      </c>
      <c r="H363" s="14">
        <f>INDEX(Clientes!$E$4:$E$15,MATCH(B363,Clientes!$A$4:$A$15,0))</f>
        <v>1</v>
      </c>
      <c r="I363" s="15">
        <f t="shared" si="5"/>
        <v>7170</v>
      </c>
    </row>
    <row r="364" spans="1:9" x14ac:dyDescent="0.3">
      <c r="A364" s="13">
        <v>45717</v>
      </c>
      <c r="B364" t="s">
        <v>33</v>
      </c>
      <c r="C364" t="s">
        <v>67</v>
      </c>
      <c r="D364" t="str">
        <f>INDEX(Clientes!$B$4:$B$15,MATCH(B364,Clientes!$A$4:$A$15,0))</f>
        <v>Transportes Rápidos del Valle</v>
      </c>
      <c r="E364" t="str">
        <f>INDEX(Catalogo_Servicios!$C$4:$C$24,MATCH(C364,Catalogo_Servicios!$A$4:$A$24,0))</f>
        <v>Cálculo de planillas y cargas sociales (CCSS/INS)</v>
      </c>
      <c r="F364" s="14">
        <v>5.5</v>
      </c>
      <c r="G364" s="15">
        <f>Parametros!$B$4</f>
        <v>28681</v>
      </c>
      <c r="H364" s="14">
        <f>INDEX(Clientes!$E$4:$E$15,MATCH(B364,Clientes!$A$4:$A$15,0))</f>
        <v>1</v>
      </c>
      <c r="I364" s="15">
        <f t="shared" si="5"/>
        <v>157746</v>
      </c>
    </row>
    <row r="365" spans="1:9" x14ac:dyDescent="0.3">
      <c r="A365" s="13">
        <v>45717</v>
      </c>
      <c r="B365" t="s">
        <v>34</v>
      </c>
      <c r="C365" t="s">
        <v>69</v>
      </c>
      <c r="D365" t="str">
        <f>INDEX(Clientes!$B$4:$B$15,MATCH(B365,Clientes!$A$4:$A$15,0))</f>
        <v>Boutique Luna Nueva</v>
      </c>
      <c r="E365" t="str">
        <f>INDEX(Catalogo_Servicios!$C$4:$C$24,MATCH(C365,Catalogo_Servicios!$A$4:$A$24,0))</f>
        <v>Declaración anual de renta (D-101 / D-105)</v>
      </c>
      <c r="F365" s="14">
        <v>1.5</v>
      </c>
      <c r="G365" s="15">
        <f>Parametros!$B$4</f>
        <v>28681</v>
      </c>
      <c r="H365" s="14">
        <f>INDEX(Clientes!$E$4:$E$15,MATCH(B365,Clientes!$A$4:$A$15,0))</f>
        <v>1.1499999999999999</v>
      </c>
      <c r="I365" s="15">
        <f t="shared" si="5"/>
        <v>49475</v>
      </c>
    </row>
    <row r="366" spans="1:9" x14ac:dyDescent="0.3">
      <c r="A366" s="13">
        <v>45717</v>
      </c>
      <c r="B366" t="s">
        <v>34</v>
      </c>
      <c r="C366" t="s">
        <v>74</v>
      </c>
      <c r="D366" t="str">
        <f>INDEX(Clientes!$B$4:$B$15,MATCH(B366,Clientes!$A$4:$A$15,0))</f>
        <v>Boutique Luna Nueva</v>
      </c>
      <c r="E366" t="str">
        <f>INDEX(Catalogo_Servicios!$C$4:$C$24,MATCH(C366,Catalogo_Servicios!$A$4:$A$24,0))</f>
        <v>Certificación de ingresos y estudios generales</v>
      </c>
      <c r="F366" s="14">
        <v>3</v>
      </c>
      <c r="G366" s="15">
        <f>Parametros!$B$4</f>
        <v>28681</v>
      </c>
      <c r="H366" s="14">
        <f>INDEX(Clientes!$E$4:$E$15,MATCH(B366,Clientes!$A$4:$A$15,0))</f>
        <v>1.1499999999999999</v>
      </c>
      <c r="I366" s="15">
        <f t="shared" si="5"/>
        <v>98949</v>
      </c>
    </row>
    <row r="367" spans="1:9" x14ac:dyDescent="0.3">
      <c r="A367" s="13">
        <v>45717</v>
      </c>
      <c r="B367" t="s">
        <v>35</v>
      </c>
      <c r="C367" t="s">
        <v>65</v>
      </c>
      <c r="D367" t="str">
        <f>INDEX(Clientes!$B$4:$B$15,MATCH(B367,Clientes!$A$4:$A$15,0))</f>
        <v>Taller Mecánico Hermanos Mora</v>
      </c>
      <c r="E367" t="str">
        <f>INDEX(Catalogo_Servicios!$C$4:$C$24,MATCH(C367,Catalogo_Servicios!$A$4:$A$24,0))</f>
        <v>Declaración mensual de IVA (D-104)</v>
      </c>
      <c r="F367" s="14">
        <v>0.75</v>
      </c>
      <c r="G367" s="15">
        <f>Parametros!$B$4</f>
        <v>28681</v>
      </c>
      <c r="H367" s="14">
        <f>INDEX(Clientes!$E$4:$E$15,MATCH(B367,Clientes!$A$4:$A$15,0))</f>
        <v>1</v>
      </c>
      <c r="I367" s="15">
        <f t="shared" si="5"/>
        <v>21511</v>
      </c>
    </row>
    <row r="368" spans="1:9" x14ac:dyDescent="0.3">
      <c r="A368" s="13">
        <v>45717</v>
      </c>
      <c r="B368" t="s">
        <v>35</v>
      </c>
      <c r="C368" t="s">
        <v>69</v>
      </c>
      <c r="D368" t="str">
        <f>INDEX(Clientes!$B$4:$B$15,MATCH(B368,Clientes!$A$4:$A$15,0))</f>
        <v>Taller Mecánico Hermanos Mora</v>
      </c>
      <c r="E368" t="str">
        <f>INDEX(Catalogo_Servicios!$C$4:$C$24,MATCH(C368,Catalogo_Servicios!$A$4:$A$24,0))</f>
        <v>Declaración anual de renta (D-101 / D-105)</v>
      </c>
      <c r="F368" s="14">
        <v>1.5</v>
      </c>
      <c r="G368" s="15">
        <f>Parametros!$B$4</f>
        <v>28681</v>
      </c>
      <c r="H368" s="14">
        <f>INDEX(Clientes!$E$4:$E$15,MATCH(B368,Clientes!$A$4:$A$15,0))</f>
        <v>1</v>
      </c>
      <c r="I368" s="15">
        <f t="shared" si="5"/>
        <v>43022</v>
      </c>
    </row>
    <row r="369" spans="1:9" x14ac:dyDescent="0.3">
      <c r="A369" s="13">
        <v>45717</v>
      </c>
      <c r="B369" t="s">
        <v>36</v>
      </c>
      <c r="C369" t="s">
        <v>65</v>
      </c>
      <c r="D369" t="str">
        <f>INDEX(Clientes!$B$4:$B$15,MATCH(B369,Clientes!$A$4:$A$15,0))</f>
        <v>Agroservicios Cartago</v>
      </c>
      <c r="E369" t="str">
        <f>INDEX(Catalogo_Servicios!$C$4:$C$24,MATCH(C369,Catalogo_Servicios!$A$4:$A$24,0))</f>
        <v>Declaración mensual de IVA (D-104)</v>
      </c>
      <c r="F369" s="14">
        <v>1</v>
      </c>
      <c r="G369" s="15">
        <f>Parametros!$B$4</f>
        <v>28681</v>
      </c>
      <c r="H369" s="14">
        <f>INDEX(Clientes!$E$4:$E$15,MATCH(B369,Clientes!$A$4:$A$15,0))</f>
        <v>1</v>
      </c>
      <c r="I369" s="15">
        <f t="shared" si="5"/>
        <v>28681</v>
      </c>
    </row>
    <row r="370" spans="1:9" x14ac:dyDescent="0.3">
      <c r="A370" s="13">
        <v>45717</v>
      </c>
      <c r="B370" t="s">
        <v>36</v>
      </c>
      <c r="C370" t="s">
        <v>66</v>
      </c>
      <c r="D370" t="str">
        <f>INDEX(Clientes!$B$4:$B$15,MATCH(B370,Clientes!$A$4:$A$15,0))</f>
        <v>Agroservicios Cartago</v>
      </c>
      <c r="E370" t="str">
        <f>INDEX(Catalogo_Servicios!$C$4:$C$24,MATCH(C370,Catalogo_Servicios!$A$4:$A$24,0))</f>
        <v>Declaración mensual de retenciones (D-103)</v>
      </c>
      <c r="F370" s="14">
        <v>0.25</v>
      </c>
      <c r="G370" s="15">
        <f>Parametros!$B$4</f>
        <v>28681</v>
      </c>
      <c r="H370" s="14">
        <f>INDEX(Clientes!$E$4:$E$15,MATCH(B370,Clientes!$A$4:$A$15,0))</f>
        <v>1</v>
      </c>
      <c r="I370" s="15">
        <f t="shared" si="5"/>
        <v>7170</v>
      </c>
    </row>
    <row r="371" spans="1:9" x14ac:dyDescent="0.3">
      <c r="A371" s="13">
        <v>45717</v>
      </c>
      <c r="B371" t="s">
        <v>36</v>
      </c>
      <c r="C371" t="s">
        <v>69</v>
      </c>
      <c r="D371" t="str">
        <f>INDEX(Clientes!$B$4:$B$15,MATCH(B371,Clientes!$A$4:$A$15,0))</f>
        <v>Agroservicios Cartago</v>
      </c>
      <c r="E371" t="str">
        <f>INDEX(Catalogo_Servicios!$C$4:$C$24,MATCH(C371,Catalogo_Servicios!$A$4:$A$24,0))</f>
        <v>Declaración anual de renta (D-101 / D-105)</v>
      </c>
      <c r="F371" s="14">
        <v>1.5</v>
      </c>
      <c r="G371" s="15">
        <f>Parametros!$B$4</f>
        <v>28681</v>
      </c>
      <c r="H371" s="14">
        <f>INDEX(Clientes!$E$4:$E$15,MATCH(B371,Clientes!$A$4:$A$15,0))</f>
        <v>1</v>
      </c>
      <c r="I371" s="15">
        <f t="shared" si="5"/>
        <v>43022</v>
      </c>
    </row>
    <row r="372" spans="1:9" x14ac:dyDescent="0.3">
      <c r="A372" s="13">
        <v>45717</v>
      </c>
      <c r="B372" t="s">
        <v>37</v>
      </c>
      <c r="C372" t="s">
        <v>69</v>
      </c>
      <c r="D372" t="str">
        <f>INDEX(Clientes!$B$4:$B$15,MATCH(B372,Clientes!$A$4:$A$15,0))</f>
        <v>Estudio Fotográfico Lumière</v>
      </c>
      <c r="E372" t="str">
        <f>INDEX(Catalogo_Servicios!$C$4:$C$24,MATCH(C372,Catalogo_Servicios!$A$4:$A$24,0))</f>
        <v>Declaración anual de renta (D-101 / D-105)</v>
      </c>
      <c r="F372" s="14">
        <v>1.5</v>
      </c>
      <c r="G372" s="15">
        <f>Parametros!$B$4</f>
        <v>28681</v>
      </c>
      <c r="H372" s="14">
        <f>INDEX(Clientes!$E$4:$E$15,MATCH(B372,Clientes!$A$4:$A$15,0))</f>
        <v>1.1000000000000001</v>
      </c>
      <c r="I372" s="15">
        <f t="shared" si="5"/>
        <v>47324</v>
      </c>
    </row>
    <row r="373" spans="1:9" x14ac:dyDescent="0.3">
      <c r="A373" s="13">
        <v>45717</v>
      </c>
      <c r="B373" t="s">
        <v>38</v>
      </c>
      <c r="C373" t="s">
        <v>65</v>
      </c>
      <c r="D373" t="str">
        <f>INDEX(Clientes!$B$4:$B$15,MATCH(B373,Clientes!$A$4:$A$15,0))</f>
        <v>Panadería La Espiga</v>
      </c>
      <c r="E373" t="str">
        <f>INDEX(Catalogo_Servicios!$C$4:$C$24,MATCH(C373,Catalogo_Servicios!$A$4:$A$24,0))</f>
        <v>Declaración mensual de IVA (D-104)</v>
      </c>
      <c r="F373" s="14">
        <v>0.75</v>
      </c>
      <c r="G373" s="15">
        <f>Parametros!$B$4</f>
        <v>28681</v>
      </c>
      <c r="H373" s="14">
        <f>INDEX(Clientes!$E$4:$E$15,MATCH(B373,Clientes!$A$4:$A$15,0))</f>
        <v>1</v>
      </c>
      <c r="I373" s="15">
        <f t="shared" si="5"/>
        <v>21511</v>
      </c>
    </row>
    <row r="374" spans="1:9" x14ac:dyDescent="0.3">
      <c r="A374" s="13">
        <v>45717</v>
      </c>
      <c r="B374" t="s">
        <v>38</v>
      </c>
      <c r="C374" t="s">
        <v>67</v>
      </c>
      <c r="D374" t="str">
        <f>INDEX(Clientes!$B$4:$B$15,MATCH(B374,Clientes!$A$4:$A$15,0))</f>
        <v>Panadería La Espiga</v>
      </c>
      <c r="E374" t="str">
        <f>INDEX(Catalogo_Servicios!$C$4:$C$24,MATCH(C374,Catalogo_Servicios!$A$4:$A$24,0))</f>
        <v>Cálculo de planillas y cargas sociales (CCSS/INS)</v>
      </c>
      <c r="F374" s="14">
        <v>7</v>
      </c>
      <c r="G374" s="15">
        <f>Parametros!$B$4</f>
        <v>28681</v>
      </c>
      <c r="H374" s="14">
        <f>INDEX(Clientes!$E$4:$E$15,MATCH(B374,Clientes!$A$4:$A$15,0))</f>
        <v>1</v>
      </c>
      <c r="I374" s="15">
        <f t="shared" si="5"/>
        <v>200767</v>
      </c>
    </row>
    <row r="375" spans="1:9" x14ac:dyDescent="0.3">
      <c r="A375" s="13">
        <v>45717</v>
      </c>
      <c r="B375" t="s">
        <v>39</v>
      </c>
      <c r="C375" t="s">
        <v>69</v>
      </c>
      <c r="D375" t="str">
        <f>INDEX(Clientes!$B$4:$B$15,MATCH(B375,Clientes!$A$4:$A$15,0))</f>
        <v>Consultores TIC Pura Vida</v>
      </c>
      <c r="E375" t="str">
        <f>INDEX(Catalogo_Servicios!$C$4:$C$24,MATCH(C375,Catalogo_Servicios!$A$4:$A$24,0))</f>
        <v>Declaración anual de renta (D-101 / D-105)</v>
      </c>
      <c r="F375" s="14">
        <v>1.5</v>
      </c>
      <c r="G375" s="15">
        <f>Parametros!$B$4</f>
        <v>28681</v>
      </c>
      <c r="H375" s="14">
        <f>INDEX(Clientes!$E$4:$E$15,MATCH(B375,Clientes!$A$4:$A$15,0))</f>
        <v>1</v>
      </c>
      <c r="I375" s="15">
        <f t="shared" si="5"/>
        <v>43022</v>
      </c>
    </row>
    <row r="376" spans="1:9" x14ac:dyDescent="0.3">
      <c r="A376" s="13">
        <v>45717</v>
      </c>
      <c r="B376" t="s">
        <v>40</v>
      </c>
      <c r="C376" t="s">
        <v>69</v>
      </c>
      <c r="D376" t="str">
        <f>INDEX(Clientes!$B$4:$B$15,MATCH(B376,Clientes!$A$4:$A$15,0))</f>
        <v>Veterinaria Mascotas Felices</v>
      </c>
      <c r="E376" t="str">
        <f>INDEX(Catalogo_Servicios!$C$4:$C$24,MATCH(C376,Catalogo_Servicios!$A$4:$A$24,0))</f>
        <v>Declaración anual de renta (D-101 / D-105)</v>
      </c>
      <c r="F376" s="14">
        <v>1.5</v>
      </c>
      <c r="G376" s="15">
        <f>Parametros!$B$4</f>
        <v>28681</v>
      </c>
      <c r="H376" s="14">
        <f>INDEX(Clientes!$E$4:$E$15,MATCH(B376,Clientes!$A$4:$A$15,0))</f>
        <v>1.05</v>
      </c>
      <c r="I376" s="15">
        <f t="shared" si="5"/>
        <v>45173</v>
      </c>
    </row>
    <row r="377" spans="1:9" x14ac:dyDescent="0.3">
      <c r="A377" s="13">
        <v>45748</v>
      </c>
      <c r="B377" t="s">
        <v>29</v>
      </c>
      <c r="C377" t="s">
        <v>64</v>
      </c>
      <c r="D377" t="str">
        <f>INDEX(Clientes!$B$4:$B$15,MATCH(B377,Clientes!$A$4:$A$15,0))</f>
        <v>Distribuidora Los Andes S.A.</v>
      </c>
      <c r="E377" t="str">
        <f>INDEX(Catalogo_Servicios!$C$4:$C$24,MATCH(C377,Catalogo_Servicios!$A$4:$A$24,0))</f>
        <v>Estados financieros mensuales</v>
      </c>
      <c r="F377" s="14">
        <v>3</v>
      </c>
      <c r="G377" s="15">
        <f>Parametros!$B$4</f>
        <v>28681</v>
      </c>
      <c r="H377" s="14">
        <f>INDEX(Clientes!$E$4:$E$15,MATCH(B377,Clientes!$A$4:$A$15,0))</f>
        <v>1</v>
      </c>
      <c r="I377" s="15">
        <f t="shared" si="5"/>
        <v>86043</v>
      </c>
    </row>
    <row r="378" spans="1:9" x14ac:dyDescent="0.3">
      <c r="A378" s="13">
        <v>45748</v>
      </c>
      <c r="B378" t="s">
        <v>29</v>
      </c>
      <c r="C378" t="s">
        <v>65</v>
      </c>
      <c r="D378" t="str">
        <f>INDEX(Clientes!$B$4:$B$15,MATCH(B378,Clientes!$A$4:$A$15,0))</f>
        <v>Distribuidora Los Andes S.A.</v>
      </c>
      <c r="E378" t="str">
        <f>INDEX(Catalogo_Servicios!$C$4:$C$24,MATCH(C378,Catalogo_Servicios!$A$4:$A$24,0))</f>
        <v>Declaración mensual de IVA (D-104)</v>
      </c>
      <c r="F378" s="14">
        <v>0.75</v>
      </c>
      <c r="G378" s="15">
        <f>Parametros!$B$4</f>
        <v>28681</v>
      </c>
      <c r="H378" s="14">
        <f>INDEX(Clientes!$E$4:$E$15,MATCH(B378,Clientes!$A$4:$A$15,0))</f>
        <v>1</v>
      </c>
      <c r="I378" s="15">
        <f t="shared" si="5"/>
        <v>21511</v>
      </c>
    </row>
    <row r="379" spans="1:9" x14ac:dyDescent="0.3">
      <c r="A379" s="13">
        <v>45748</v>
      </c>
      <c r="B379" t="s">
        <v>29</v>
      </c>
      <c r="C379" t="s">
        <v>66</v>
      </c>
      <c r="D379" t="str">
        <f>INDEX(Clientes!$B$4:$B$15,MATCH(B379,Clientes!$A$4:$A$15,0))</f>
        <v>Distribuidora Los Andes S.A.</v>
      </c>
      <c r="E379" t="str">
        <f>INDEX(Catalogo_Servicios!$C$4:$C$24,MATCH(C379,Catalogo_Servicios!$A$4:$A$24,0))</f>
        <v>Declaración mensual de retenciones (D-103)</v>
      </c>
      <c r="F379" s="14">
        <v>0.25</v>
      </c>
      <c r="G379" s="15">
        <f>Parametros!$B$4</f>
        <v>28681</v>
      </c>
      <c r="H379" s="14">
        <f>INDEX(Clientes!$E$4:$E$15,MATCH(B379,Clientes!$A$4:$A$15,0))</f>
        <v>1</v>
      </c>
      <c r="I379" s="15">
        <f t="shared" si="5"/>
        <v>7170</v>
      </c>
    </row>
    <row r="380" spans="1:9" x14ac:dyDescent="0.3">
      <c r="A380" s="13">
        <v>45748</v>
      </c>
      <c r="B380" t="s">
        <v>29</v>
      </c>
      <c r="C380" t="s">
        <v>67</v>
      </c>
      <c r="D380" t="str">
        <f>INDEX(Clientes!$B$4:$B$15,MATCH(B380,Clientes!$A$4:$A$15,0))</f>
        <v>Distribuidora Los Andes S.A.</v>
      </c>
      <c r="E380" t="str">
        <f>INDEX(Catalogo_Servicios!$C$4:$C$24,MATCH(C380,Catalogo_Servicios!$A$4:$A$24,0))</f>
        <v>Cálculo de planillas y cargas sociales (CCSS/INS)</v>
      </c>
      <c r="F380" s="14">
        <v>22.5</v>
      </c>
      <c r="G380" s="15">
        <f>Parametros!$B$4</f>
        <v>28681</v>
      </c>
      <c r="H380" s="14">
        <f>INDEX(Clientes!$E$4:$E$15,MATCH(B380,Clientes!$A$4:$A$15,0))</f>
        <v>1</v>
      </c>
      <c r="I380" s="15">
        <f t="shared" si="5"/>
        <v>645323</v>
      </c>
    </row>
    <row r="381" spans="1:9" x14ac:dyDescent="0.3">
      <c r="A381" s="13">
        <v>45748</v>
      </c>
      <c r="B381" t="s">
        <v>30</v>
      </c>
      <c r="C381" t="s">
        <v>64</v>
      </c>
      <c r="D381" t="str">
        <f>INDEX(Clientes!$B$4:$B$15,MATCH(B381,Clientes!$A$4:$A$15,0))</f>
        <v>Ferretería El Tornillo</v>
      </c>
      <c r="E381" t="str">
        <f>INDEX(Catalogo_Servicios!$C$4:$C$24,MATCH(C381,Catalogo_Servicios!$A$4:$A$24,0))</f>
        <v>Estados financieros mensuales</v>
      </c>
      <c r="F381" s="14">
        <v>3.25</v>
      </c>
      <c r="G381" s="15">
        <f>Parametros!$B$4</f>
        <v>28681</v>
      </c>
      <c r="H381" s="14">
        <f>INDEX(Clientes!$E$4:$E$15,MATCH(B381,Clientes!$A$4:$A$15,0))</f>
        <v>1</v>
      </c>
      <c r="I381" s="15">
        <f t="shared" si="5"/>
        <v>93213</v>
      </c>
    </row>
    <row r="382" spans="1:9" x14ac:dyDescent="0.3">
      <c r="A382" s="13">
        <v>45748</v>
      </c>
      <c r="B382" t="s">
        <v>30</v>
      </c>
      <c r="C382" t="s">
        <v>65</v>
      </c>
      <c r="D382" t="str">
        <f>INDEX(Clientes!$B$4:$B$15,MATCH(B382,Clientes!$A$4:$A$15,0))</f>
        <v>Ferretería El Tornillo</v>
      </c>
      <c r="E382" t="str">
        <f>INDEX(Catalogo_Servicios!$C$4:$C$24,MATCH(C382,Catalogo_Servicios!$A$4:$A$24,0))</f>
        <v>Declaración mensual de IVA (D-104)</v>
      </c>
      <c r="F382" s="14">
        <v>0.75</v>
      </c>
      <c r="G382" s="15">
        <f>Parametros!$B$4</f>
        <v>28681</v>
      </c>
      <c r="H382" s="14">
        <f>INDEX(Clientes!$E$4:$E$15,MATCH(B382,Clientes!$A$4:$A$15,0))</f>
        <v>1</v>
      </c>
      <c r="I382" s="15">
        <f t="shared" si="5"/>
        <v>21511</v>
      </c>
    </row>
    <row r="383" spans="1:9" x14ac:dyDescent="0.3">
      <c r="A383" s="13">
        <v>45748</v>
      </c>
      <c r="B383" t="s">
        <v>30</v>
      </c>
      <c r="C383" t="s">
        <v>66</v>
      </c>
      <c r="D383" t="str">
        <f>INDEX(Clientes!$B$4:$B$15,MATCH(B383,Clientes!$A$4:$A$15,0))</f>
        <v>Ferretería El Tornillo</v>
      </c>
      <c r="E383" t="str">
        <f>INDEX(Catalogo_Servicios!$C$4:$C$24,MATCH(C383,Catalogo_Servicios!$A$4:$A$24,0))</f>
        <v>Declaración mensual de retenciones (D-103)</v>
      </c>
      <c r="F383" s="14">
        <v>0.25</v>
      </c>
      <c r="G383" s="15">
        <f>Parametros!$B$4</f>
        <v>28681</v>
      </c>
      <c r="H383" s="14">
        <f>INDEX(Clientes!$E$4:$E$15,MATCH(B383,Clientes!$A$4:$A$15,0))</f>
        <v>1</v>
      </c>
      <c r="I383" s="15">
        <f t="shared" si="5"/>
        <v>7170</v>
      </c>
    </row>
    <row r="384" spans="1:9" x14ac:dyDescent="0.3">
      <c r="A384" s="13">
        <v>45748</v>
      </c>
      <c r="B384" t="s">
        <v>31</v>
      </c>
      <c r="C384" t="s">
        <v>65</v>
      </c>
      <c r="D384" t="str">
        <f>INDEX(Clientes!$B$4:$B$15,MATCH(B384,Clientes!$A$4:$A$15,0))</f>
        <v>Clínica Dental Sonrisa</v>
      </c>
      <c r="E384" t="str">
        <f>INDEX(Catalogo_Servicios!$C$4:$C$24,MATCH(C384,Catalogo_Servicios!$A$4:$A$24,0))</f>
        <v>Declaración mensual de IVA (D-104)</v>
      </c>
      <c r="F384" s="14">
        <v>0.75</v>
      </c>
      <c r="G384" s="15">
        <f>Parametros!$B$4</f>
        <v>28681</v>
      </c>
      <c r="H384" s="14">
        <f>INDEX(Clientes!$E$4:$E$15,MATCH(B384,Clientes!$A$4:$A$15,0))</f>
        <v>1.1000000000000001</v>
      </c>
      <c r="I384" s="15">
        <f t="shared" si="5"/>
        <v>23662</v>
      </c>
    </row>
    <row r="385" spans="1:9" x14ac:dyDescent="0.3">
      <c r="A385" s="13">
        <v>45748</v>
      </c>
      <c r="B385" t="s">
        <v>32</v>
      </c>
      <c r="C385" t="s">
        <v>65</v>
      </c>
      <c r="D385" t="str">
        <f>INDEX(Clientes!$B$4:$B$15,MATCH(B385,Clientes!$A$4:$A$15,0))</f>
        <v>Soda y Restaurante Doña Lela</v>
      </c>
      <c r="E385" t="str">
        <f>INDEX(Catalogo_Servicios!$C$4:$C$24,MATCH(C385,Catalogo_Servicios!$A$4:$A$24,0))</f>
        <v>Declaración mensual de IVA (D-104)</v>
      </c>
      <c r="F385" s="14">
        <v>0.75</v>
      </c>
      <c r="G385" s="15">
        <f>Parametros!$B$4</f>
        <v>28681</v>
      </c>
      <c r="H385" s="14">
        <f>INDEX(Clientes!$E$4:$E$15,MATCH(B385,Clientes!$A$4:$A$15,0))</f>
        <v>1</v>
      </c>
      <c r="I385" s="15">
        <f t="shared" si="5"/>
        <v>21511</v>
      </c>
    </row>
    <row r="386" spans="1:9" x14ac:dyDescent="0.3">
      <c r="A386" s="13">
        <v>45748</v>
      </c>
      <c r="B386" t="s">
        <v>33</v>
      </c>
      <c r="C386" t="s">
        <v>65</v>
      </c>
      <c r="D386" t="str">
        <f>INDEX(Clientes!$B$4:$B$15,MATCH(B386,Clientes!$A$4:$A$15,0))</f>
        <v>Transportes Rápidos del Valle</v>
      </c>
      <c r="E386" t="str">
        <f>INDEX(Catalogo_Servicios!$C$4:$C$24,MATCH(C386,Catalogo_Servicios!$A$4:$A$24,0))</f>
        <v>Declaración mensual de IVA (D-104)</v>
      </c>
      <c r="F386" s="14">
        <v>0.75</v>
      </c>
      <c r="G386" s="15">
        <f>Parametros!$B$4</f>
        <v>28681</v>
      </c>
      <c r="H386" s="14">
        <f>INDEX(Clientes!$E$4:$E$15,MATCH(B386,Clientes!$A$4:$A$15,0))</f>
        <v>1</v>
      </c>
      <c r="I386" s="15">
        <f t="shared" si="5"/>
        <v>21511</v>
      </c>
    </row>
    <row r="387" spans="1:9" x14ac:dyDescent="0.3">
      <c r="A387" s="13">
        <v>45748</v>
      </c>
      <c r="B387" t="s">
        <v>33</v>
      </c>
      <c r="C387" t="s">
        <v>66</v>
      </c>
      <c r="D387" t="str">
        <f>INDEX(Clientes!$B$4:$B$15,MATCH(B387,Clientes!$A$4:$A$15,0))</f>
        <v>Transportes Rápidos del Valle</v>
      </c>
      <c r="E387" t="str">
        <f>INDEX(Catalogo_Servicios!$C$4:$C$24,MATCH(C387,Catalogo_Servicios!$A$4:$A$24,0))</f>
        <v>Declaración mensual de retenciones (D-103)</v>
      </c>
      <c r="F387" s="14">
        <v>0.25</v>
      </c>
      <c r="G387" s="15">
        <f>Parametros!$B$4</f>
        <v>28681</v>
      </c>
      <c r="H387" s="14">
        <f>INDEX(Clientes!$E$4:$E$15,MATCH(B387,Clientes!$A$4:$A$15,0))</f>
        <v>1</v>
      </c>
      <c r="I387" s="15">
        <f t="shared" si="5"/>
        <v>7170</v>
      </c>
    </row>
    <row r="388" spans="1:9" x14ac:dyDescent="0.3">
      <c r="A388" s="13">
        <v>45748</v>
      </c>
      <c r="B388" t="s">
        <v>33</v>
      </c>
      <c r="C388" t="s">
        <v>67</v>
      </c>
      <c r="D388" t="str">
        <f>INDEX(Clientes!$B$4:$B$15,MATCH(B388,Clientes!$A$4:$A$15,0))</f>
        <v>Transportes Rápidos del Valle</v>
      </c>
      <c r="E388" t="str">
        <f>INDEX(Catalogo_Servicios!$C$4:$C$24,MATCH(C388,Catalogo_Servicios!$A$4:$A$24,0))</f>
        <v>Cálculo de planillas y cargas sociales (CCSS/INS)</v>
      </c>
      <c r="F388" s="14">
        <v>6</v>
      </c>
      <c r="G388" s="15">
        <f>Parametros!$B$4</f>
        <v>28681</v>
      </c>
      <c r="H388" s="14">
        <f>INDEX(Clientes!$E$4:$E$15,MATCH(B388,Clientes!$A$4:$A$15,0))</f>
        <v>1</v>
      </c>
      <c r="I388" s="15">
        <f t="shared" ref="I388:I451" si="6">ROUND(F388*G388*H388,0)</f>
        <v>172086</v>
      </c>
    </row>
    <row r="389" spans="1:9" x14ac:dyDescent="0.3">
      <c r="A389" s="13">
        <v>45748</v>
      </c>
      <c r="B389" t="s">
        <v>35</v>
      </c>
      <c r="C389" t="s">
        <v>65</v>
      </c>
      <c r="D389" t="str">
        <f>INDEX(Clientes!$B$4:$B$15,MATCH(B389,Clientes!$A$4:$A$15,0))</f>
        <v>Taller Mecánico Hermanos Mora</v>
      </c>
      <c r="E389" t="str">
        <f>INDEX(Catalogo_Servicios!$C$4:$C$24,MATCH(C389,Catalogo_Servicios!$A$4:$A$24,0))</f>
        <v>Declaración mensual de IVA (D-104)</v>
      </c>
      <c r="F389" s="14">
        <v>0.75</v>
      </c>
      <c r="G389" s="15">
        <f>Parametros!$B$4</f>
        <v>28681</v>
      </c>
      <c r="H389" s="14">
        <f>INDEX(Clientes!$E$4:$E$15,MATCH(B389,Clientes!$A$4:$A$15,0))</f>
        <v>1</v>
      </c>
      <c r="I389" s="15">
        <f t="shared" si="6"/>
        <v>21511</v>
      </c>
    </row>
    <row r="390" spans="1:9" x14ac:dyDescent="0.3">
      <c r="A390" s="13">
        <v>45748</v>
      </c>
      <c r="B390" t="s">
        <v>36</v>
      </c>
      <c r="C390" t="s">
        <v>65</v>
      </c>
      <c r="D390" t="str">
        <f>INDEX(Clientes!$B$4:$B$15,MATCH(B390,Clientes!$A$4:$A$15,0))</f>
        <v>Agroservicios Cartago</v>
      </c>
      <c r="E390" t="str">
        <f>INDEX(Catalogo_Servicios!$C$4:$C$24,MATCH(C390,Catalogo_Servicios!$A$4:$A$24,0))</f>
        <v>Declaración mensual de IVA (D-104)</v>
      </c>
      <c r="F390" s="14">
        <v>0.75</v>
      </c>
      <c r="G390" s="15">
        <f>Parametros!$B$4</f>
        <v>28681</v>
      </c>
      <c r="H390" s="14">
        <f>INDEX(Clientes!$E$4:$E$15,MATCH(B390,Clientes!$A$4:$A$15,0))</f>
        <v>1</v>
      </c>
      <c r="I390" s="15">
        <f t="shared" si="6"/>
        <v>21511</v>
      </c>
    </row>
    <row r="391" spans="1:9" x14ac:dyDescent="0.3">
      <c r="A391" s="13">
        <v>45748</v>
      </c>
      <c r="B391" t="s">
        <v>36</v>
      </c>
      <c r="C391" t="s">
        <v>66</v>
      </c>
      <c r="D391" t="str">
        <f>INDEX(Clientes!$B$4:$B$15,MATCH(B391,Clientes!$A$4:$A$15,0))</f>
        <v>Agroservicios Cartago</v>
      </c>
      <c r="E391" t="str">
        <f>INDEX(Catalogo_Servicios!$C$4:$C$24,MATCH(C391,Catalogo_Servicios!$A$4:$A$24,0))</f>
        <v>Declaración mensual de retenciones (D-103)</v>
      </c>
      <c r="F391" s="14">
        <v>0.25</v>
      </c>
      <c r="G391" s="15">
        <f>Parametros!$B$4</f>
        <v>28681</v>
      </c>
      <c r="H391" s="14">
        <f>INDEX(Clientes!$E$4:$E$15,MATCH(B391,Clientes!$A$4:$A$15,0))</f>
        <v>1</v>
      </c>
      <c r="I391" s="15">
        <f t="shared" si="6"/>
        <v>7170</v>
      </c>
    </row>
    <row r="392" spans="1:9" x14ac:dyDescent="0.3">
      <c r="A392" s="13">
        <v>45748</v>
      </c>
      <c r="B392" t="s">
        <v>38</v>
      </c>
      <c r="C392" t="s">
        <v>65</v>
      </c>
      <c r="D392" t="str">
        <f>INDEX(Clientes!$B$4:$B$15,MATCH(B392,Clientes!$A$4:$A$15,0))</f>
        <v>Panadería La Espiga</v>
      </c>
      <c r="E392" t="str">
        <f>INDEX(Catalogo_Servicios!$C$4:$C$24,MATCH(C392,Catalogo_Servicios!$A$4:$A$24,0))</f>
        <v>Declaración mensual de IVA (D-104)</v>
      </c>
      <c r="F392" s="14">
        <v>0.75</v>
      </c>
      <c r="G392" s="15">
        <f>Parametros!$B$4</f>
        <v>28681</v>
      </c>
      <c r="H392" s="14">
        <f>INDEX(Clientes!$E$4:$E$15,MATCH(B392,Clientes!$A$4:$A$15,0))</f>
        <v>1</v>
      </c>
      <c r="I392" s="15">
        <f t="shared" si="6"/>
        <v>21511</v>
      </c>
    </row>
    <row r="393" spans="1:9" x14ac:dyDescent="0.3">
      <c r="A393" s="13">
        <v>45748</v>
      </c>
      <c r="B393" t="s">
        <v>38</v>
      </c>
      <c r="C393" t="s">
        <v>67</v>
      </c>
      <c r="D393" t="str">
        <f>INDEX(Clientes!$B$4:$B$15,MATCH(B393,Clientes!$A$4:$A$15,0))</f>
        <v>Panadería La Espiga</v>
      </c>
      <c r="E393" t="str">
        <f>INDEX(Catalogo_Servicios!$C$4:$C$24,MATCH(C393,Catalogo_Servicios!$A$4:$A$24,0))</f>
        <v>Cálculo de planillas y cargas sociales (CCSS/INS)</v>
      </c>
      <c r="F393" s="14">
        <v>7</v>
      </c>
      <c r="G393" s="15">
        <f>Parametros!$B$4</f>
        <v>28681</v>
      </c>
      <c r="H393" s="14">
        <f>INDEX(Clientes!$E$4:$E$15,MATCH(B393,Clientes!$A$4:$A$15,0))</f>
        <v>1</v>
      </c>
      <c r="I393" s="15">
        <f t="shared" si="6"/>
        <v>200767</v>
      </c>
    </row>
    <row r="394" spans="1:9" x14ac:dyDescent="0.3">
      <c r="A394" s="13">
        <v>45748</v>
      </c>
      <c r="B394" t="s">
        <v>40</v>
      </c>
      <c r="C394" t="s">
        <v>76</v>
      </c>
      <c r="D394" t="str">
        <f>INDEX(Clientes!$B$4:$B$15,MATCH(B394,Clientes!$A$4:$A$15,0))</f>
        <v>Veterinaria Mascotas Felices</v>
      </c>
      <c r="E394" t="str">
        <f>INDEX(Catalogo_Servicios!$C$4:$C$24,MATCH(C394,Catalogo_Servicios!$A$4:$A$24,0))</f>
        <v>Estudio especial (control interno, análisis financiero)</v>
      </c>
      <c r="F394" s="14">
        <v>5</v>
      </c>
      <c r="G394" s="15">
        <f>Parametros!$B$4</f>
        <v>28681</v>
      </c>
      <c r="H394" s="14">
        <f>INDEX(Clientes!$E$4:$E$15,MATCH(B394,Clientes!$A$4:$A$15,0))</f>
        <v>1.05</v>
      </c>
      <c r="I394" s="15">
        <f t="shared" si="6"/>
        <v>150575</v>
      </c>
    </row>
    <row r="395" spans="1:9" x14ac:dyDescent="0.3">
      <c r="A395" s="13">
        <v>45778</v>
      </c>
      <c r="B395" t="s">
        <v>29</v>
      </c>
      <c r="C395" t="s">
        <v>64</v>
      </c>
      <c r="D395" t="str">
        <f>INDEX(Clientes!$B$4:$B$15,MATCH(B395,Clientes!$A$4:$A$15,0))</f>
        <v>Distribuidora Los Andes S.A.</v>
      </c>
      <c r="E395" t="str">
        <f>INDEX(Catalogo_Servicios!$C$4:$C$24,MATCH(C395,Catalogo_Servicios!$A$4:$A$24,0))</f>
        <v>Estados financieros mensuales</v>
      </c>
      <c r="F395" s="14">
        <v>3</v>
      </c>
      <c r="G395" s="15">
        <f>Parametros!$B$4</f>
        <v>28681</v>
      </c>
      <c r="H395" s="14">
        <f>INDEX(Clientes!$E$4:$E$15,MATCH(B395,Clientes!$A$4:$A$15,0))</f>
        <v>1</v>
      </c>
      <c r="I395" s="15">
        <f t="shared" si="6"/>
        <v>86043</v>
      </c>
    </row>
    <row r="396" spans="1:9" x14ac:dyDescent="0.3">
      <c r="A396" s="13">
        <v>45778</v>
      </c>
      <c r="B396" t="s">
        <v>29</v>
      </c>
      <c r="C396" t="s">
        <v>65</v>
      </c>
      <c r="D396" t="str">
        <f>INDEX(Clientes!$B$4:$B$15,MATCH(B396,Clientes!$A$4:$A$15,0))</f>
        <v>Distribuidora Los Andes S.A.</v>
      </c>
      <c r="E396" t="str">
        <f>INDEX(Catalogo_Servicios!$C$4:$C$24,MATCH(C396,Catalogo_Servicios!$A$4:$A$24,0))</f>
        <v>Declaración mensual de IVA (D-104)</v>
      </c>
      <c r="F396" s="14">
        <v>0.75</v>
      </c>
      <c r="G396" s="15">
        <f>Parametros!$B$4</f>
        <v>28681</v>
      </c>
      <c r="H396" s="14">
        <f>INDEX(Clientes!$E$4:$E$15,MATCH(B396,Clientes!$A$4:$A$15,0))</f>
        <v>1</v>
      </c>
      <c r="I396" s="15">
        <f t="shared" si="6"/>
        <v>21511</v>
      </c>
    </row>
    <row r="397" spans="1:9" x14ac:dyDescent="0.3">
      <c r="A397" s="13">
        <v>45778</v>
      </c>
      <c r="B397" t="s">
        <v>29</v>
      </c>
      <c r="C397" t="s">
        <v>66</v>
      </c>
      <c r="D397" t="str">
        <f>INDEX(Clientes!$B$4:$B$15,MATCH(B397,Clientes!$A$4:$A$15,0))</f>
        <v>Distribuidora Los Andes S.A.</v>
      </c>
      <c r="E397" t="str">
        <f>INDEX(Catalogo_Servicios!$C$4:$C$24,MATCH(C397,Catalogo_Servicios!$A$4:$A$24,0))</f>
        <v>Declaración mensual de retenciones (D-103)</v>
      </c>
      <c r="F397" s="14">
        <v>0.25</v>
      </c>
      <c r="G397" s="15">
        <f>Parametros!$B$4</f>
        <v>28681</v>
      </c>
      <c r="H397" s="14">
        <f>INDEX(Clientes!$E$4:$E$15,MATCH(B397,Clientes!$A$4:$A$15,0))</f>
        <v>1</v>
      </c>
      <c r="I397" s="15">
        <f t="shared" si="6"/>
        <v>7170</v>
      </c>
    </row>
    <row r="398" spans="1:9" x14ac:dyDescent="0.3">
      <c r="A398" s="13">
        <v>45778</v>
      </c>
      <c r="B398" t="s">
        <v>29</v>
      </c>
      <c r="C398" t="s">
        <v>67</v>
      </c>
      <c r="D398" t="str">
        <f>INDEX(Clientes!$B$4:$B$15,MATCH(B398,Clientes!$A$4:$A$15,0))</f>
        <v>Distribuidora Los Andes S.A.</v>
      </c>
      <c r="E398" t="str">
        <f>INDEX(Catalogo_Servicios!$C$4:$C$24,MATCH(C398,Catalogo_Servicios!$A$4:$A$24,0))</f>
        <v>Cálculo de planillas y cargas sociales (CCSS/INS)</v>
      </c>
      <c r="F398" s="14">
        <v>22.5</v>
      </c>
      <c r="G398" s="15">
        <f>Parametros!$B$4</f>
        <v>28681</v>
      </c>
      <c r="H398" s="14">
        <f>INDEX(Clientes!$E$4:$E$15,MATCH(B398,Clientes!$A$4:$A$15,0))</f>
        <v>1</v>
      </c>
      <c r="I398" s="15">
        <f t="shared" si="6"/>
        <v>645323</v>
      </c>
    </row>
    <row r="399" spans="1:9" x14ac:dyDescent="0.3">
      <c r="A399" s="13">
        <v>45778</v>
      </c>
      <c r="B399" t="s">
        <v>30</v>
      </c>
      <c r="C399" t="s">
        <v>64</v>
      </c>
      <c r="D399" t="str">
        <f>INDEX(Clientes!$B$4:$B$15,MATCH(B399,Clientes!$A$4:$A$15,0))</f>
        <v>Ferretería El Tornillo</v>
      </c>
      <c r="E399" t="str">
        <f>INDEX(Catalogo_Servicios!$C$4:$C$24,MATCH(C399,Catalogo_Servicios!$A$4:$A$24,0))</f>
        <v>Estados financieros mensuales</v>
      </c>
      <c r="F399" s="14">
        <v>3.25</v>
      </c>
      <c r="G399" s="15">
        <f>Parametros!$B$4</f>
        <v>28681</v>
      </c>
      <c r="H399" s="14">
        <f>INDEX(Clientes!$E$4:$E$15,MATCH(B399,Clientes!$A$4:$A$15,0))</f>
        <v>1</v>
      </c>
      <c r="I399" s="15">
        <f t="shared" si="6"/>
        <v>93213</v>
      </c>
    </row>
    <row r="400" spans="1:9" x14ac:dyDescent="0.3">
      <c r="A400" s="13">
        <v>45778</v>
      </c>
      <c r="B400" t="s">
        <v>30</v>
      </c>
      <c r="C400" t="s">
        <v>65</v>
      </c>
      <c r="D400" t="str">
        <f>INDEX(Clientes!$B$4:$B$15,MATCH(B400,Clientes!$A$4:$A$15,0))</f>
        <v>Ferretería El Tornillo</v>
      </c>
      <c r="E400" t="str">
        <f>INDEX(Catalogo_Servicios!$C$4:$C$24,MATCH(C400,Catalogo_Servicios!$A$4:$A$24,0))</f>
        <v>Declaración mensual de IVA (D-104)</v>
      </c>
      <c r="F400" s="14">
        <v>0.75</v>
      </c>
      <c r="G400" s="15">
        <f>Parametros!$B$4</f>
        <v>28681</v>
      </c>
      <c r="H400" s="14">
        <f>INDEX(Clientes!$E$4:$E$15,MATCH(B400,Clientes!$A$4:$A$15,0))</f>
        <v>1</v>
      </c>
      <c r="I400" s="15">
        <f t="shared" si="6"/>
        <v>21511</v>
      </c>
    </row>
    <row r="401" spans="1:9" x14ac:dyDescent="0.3">
      <c r="A401" s="13">
        <v>45778</v>
      </c>
      <c r="B401" t="s">
        <v>30</v>
      </c>
      <c r="C401" t="s">
        <v>66</v>
      </c>
      <c r="D401" t="str">
        <f>INDEX(Clientes!$B$4:$B$15,MATCH(B401,Clientes!$A$4:$A$15,0))</f>
        <v>Ferretería El Tornillo</v>
      </c>
      <c r="E401" t="str">
        <f>INDEX(Catalogo_Servicios!$C$4:$C$24,MATCH(C401,Catalogo_Servicios!$A$4:$A$24,0))</f>
        <v>Declaración mensual de retenciones (D-103)</v>
      </c>
      <c r="F401" s="14">
        <v>0.25</v>
      </c>
      <c r="G401" s="15">
        <f>Parametros!$B$4</f>
        <v>28681</v>
      </c>
      <c r="H401" s="14">
        <f>INDEX(Clientes!$E$4:$E$15,MATCH(B401,Clientes!$A$4:$A$15,0))</f>
        <v>1</v>
      </c>
      <c r="I401" s="15">
        <f t="shared" si="6"/>
        <v>7170</v>
      </c>
    </row>
    <row r="402" spans="1:9" x14ac:dyDescent="0.3">
      <c r="A402" s="13">
        <v>45778</v>
      </c>
      <c r="B402" t="s">
        <v>31</v>
      </c>
      <c r="C402" t="s">
        <v>65</v>
      </c>
      <c r="D402" t="str">
        <f>INDEX(Clientes!$B$4:$B$15,MATCH(B402,Clientes!$A$4:$A$15,0))</f>
        <v>Clínica Dental Sonrisa</v>
      </c>
      <c r="E402" t="str">
        <f>INDEX(Catalogo_Servicios!$C$4:$C$24,MATCH(C402,Catalogo_Servicios!$A$4:$A$24,0))</f>
        <v>Declaración mensual de IVA (D-104)</v>
      </c>
      <c r="F402" s="14">
        <v>0.75</v>
      </c>
      <c r="G402" s="15">
        <f>Parametros!$B$4</f>
        <v>28681</v>
      </c>
      <c r="H402" s="14">
        <f>INDEX(Clientes!$E$4:$E$15,MATCH(B402,Clientes!$A$4:$A$15,0))</f>
        <v>1.1000000000000001</v>
      </c>
      <c r="I402" s="15">
        <f t="shared" si="6"/>
        <v>23662</v>
      </c>
    </row>
    <row r="403" spans="1:9" x14ac:dyDescent="0.3">
      <c r="A403" s="13">
        <v>45778</v>
      </c>
      <c r="B403" t="s">
        <v>32</v>
      </c>
      <c r="C403" t="s">
        <v>65</v>
      </c>
      <c r="D403" t="str">
        <f>INDEX(Clientes!$B$4:$B$15,MATCH(B403,Clientes!$A$4:$A$15,0))</f>
        <v>Soda y Restaurante Doña Lela</v>
      </c>
      <c r="E403" t="str">
        <f>INDEX(Catalogo_Servicios!$C$4:$C$24,MATCH(C403,Catalogo_Servicios!$A$4:$A$24,0))</f>
        <v>Declaración mensual de IVA (D-104)</v>
      </c>
      <c r="F403" s="14">
        <v>0.75</v>
      </c>
      <c r="G403" s="15">
        <f>Parametros!$B$4</f>
        <v>28681</v>
      </c>
      <c r="H403" s="14">
        <f>INDEX(Clientes!$E$4:$E$15,MATCH(B403,Clientes!$A$4:$A$15,0))</f>
        <v>1</v>
      </c>
      <c r="I403" s="15">
        <f t="shared" si="6"/>
        <v>21511</v>
      </c>
    </row>
    <row r="404" spans="1:9" x14ac:dyDescent="0.3">
      <c r="A404" s="13">
        <v>45778</v>
      </c>
      <c r="B404" t="s">
        <v>33</v>
      </c>
      <c r="C404" t="s">
        <v>65</v>
      </c>
      <c r="D404" t="str">
        <f>INDEX(Clientes!$B$4:$B$15,MATCH(B404,Clientes!$A$4:$A$15,0))</f>
        <v>Transportes Rápidos del Valle</v>
      </c>
      <c r="E404" t="str">
        <f>INDEX(Catalogo_Servicios!$C$4:$C$24,MATCH(C404,Catalogo_Servicios!$A$4:$A$24,0))</f>
        <v>Declaración mensual de IVA (D-104)</v>
      </c>
      <c r="F404" s="14">
        <v>0.75</v>
      </c>
      <c r="G404" s="15">
        <f>Parametros!$B$4</f>
        <v>28681</v>
      </c>
      <c r="H404" s="14">
        <f>INDEX(Clientes!$E$4:$E$15,MATCH(B404,Clientes!$A$4:$A$15,0))</f>
        <v>1</v>
      </c>
      <c r="I404" s="15">
        <f t="shared" si="6"/>
        <v>21511</v>
      </c>
    </row>
    <row r="405" spans="1:9" x14ac:dyDescent="0.3">
      <c r="A405" s="13">
        <v>45778</v>
      </c>
      <c r="B405" t="s">
        <v>33</v>
      </c>
      <c r="C405" t="s">
        <v>66</v>
      </c>
      <c r="D405" t="str">
        <f>INDEX(Clientes!$B$4:$B$15,MATCH(B405,Clientes!$A$4:$A$15,0))</f>
        <v>Transportes Rápidos del Valle</v>
      </c>
      <c r="E405" t="str">
        <f>INDEX(Catalogo_Servicios!$C$4:$C$24,MATCH(C405,Catalogo_Servicios!$A$4:$A$24,0))</f>
        <v>Declaración mensual de retenciones (D-103)</v>
      </c>
      <c r="F405" s="14">
        <v>0.25</v>
      </c>
      <c r="G405" s="15">
        <f>Parametros!$B$4</f>
        <v>28681</v>
      </c>
      <c r="H405" s="14">
        <f>INDEX(Clientes!$E$4:$E$15,MATCH(B405,Clientes!$A$4:$A$15,0))</f>
        <v>1</v>
      </c>
      <c r="I405" s="15">
        <f t="shared" si="6"/>
        <v>7170</v>
      </c>
    </row>
    <row r="406" spans="1:9" x14ac:dyDescent="0.3">
      <c r="A406" s="13">
        <v>45778</v>
      </c>
      <c r="B406" t="s">
        <v>33</v>
      </c>
      <c r="C406" t="s">
        <v>67</v>
      </c>
      <c r="D406" t="str">
        <f>INDEX(Clientes!$B$4:$B$15,MATCH(B406,Clientes!$A$4:$A$15,0))</f>
        <v>Transportes Rápidos del Valle</v>
      </c>
      <c r="E406" t="str">
        <f>INDEX(Catalogo_Servicios!$C$4:$C$24,MATCH(C406,Catalogo_Servicios!$A$4:$A$24,0))</f>
        <v>Cálculo de planillas y cargas sociales (CCSS/INS)</v>
      </c>
      <c r="F406" s="14">
        <v>5.5</v>
      </c>
      <c r="G406" s="15">
        <f>Parametros!$B$4</f>
        <v>28681</v>
      </c>
      <c r="H406" s="14">
        <f>INDEX(Clientes!$E$4:$E$15,MATCH(B406,Clientes!$A$4:$A$15,0))</f>
        <v>1</v>
      </c>
      <c r="I406" s="15">
        <f t="shared" si="6"/>
        <v>157746</v>
      </c>
    </row>
    <row r="407" spans="1:9" x14ac:dyDescent="0.3">
      <c r="A407" s="13">
        <v>45778</v>
      </c>
      <c r="B407" t="s">
        <v>35</v>
      </c>
      <c r="C407" t="s">
        <v>65</v>
      </c>
      <c r="D407" t="str">
        <f>INDEX(Clientes!$B$4:$B$15,MATCH(B407,Clientes!$A$4:$A$15,0))</f>
        <v>Taller Mecánico Hermanos Mora</v>
      </c>
      <c r="E407" t="str">
        <f>INDEX(Catalogo_Servicios!$C$4:$C$24,MATCH(C407,Catalogo_Servicios!$A$4:$A$24,0))</f>
        <v>Declaración mensual de IVA (D-104)</v>
      </c>
      <c r="F407" s="14">
        <v>0.75</v>
      </c>
      <c r="G407" s="15">
        <f>Parametros!$B$4</f>
        <v>28681</v>
      </c>
      <c r="H407" s="14">
        <f>INDEX(Clientes!$E$4:$E$15,MATCH(B407,Clientes!$A$4:$A$15,0))</f>
        <v>1</v>
      </c>
      <c r="I407" s="15">
        <f t="shared" si="6"/>
        <v>21511</v>
      </c>
    </row>
    <row r="408" spans="1:9" x14ac:dyDescent="0.3">
      <c r="A408" s="13">
        <v>45778</v>
      </c>
      <c r="B408" t="s">
        <v>36</v>
      </c>
      <c r="C408" t="s">
        <v>65</v>
      </c>
      <c r="D408" t="str">
        <f>INDEX(Clientes!$B$4:$B$15,MATCH(B408,Clientes!$A$4:$A$15,0))</f>
        <v>Agroservicios Cartago</v>
      </c>
      <c r="E408" t="str">
        <f>INDEX(Catalogo_Servicios!$C$4:$C$24,MATCH(C408,Catalogo_Servicios!$A$4:$A$24,0))</f>
        <v>Declaración mensual de IVA (D-104)</v>
      </c>
      <c r="F408" s="14">
        <v>0.75</v>
      </c>
      <c r="G408" s="15">
        <f>Parametros!$B$4</f>
        <v>28681</v>
      </c>
      <c r="H408" s="14">
        <f>INDEX(Clientes!$E$4:$E$15,MATCH(B408,Clientes!$A$4:$A$15,0))</f>
        <v>1</v>
      </c>
      <c r="I408" s="15">
        <f t="shared" si="6"/>
        <v>21511</v>
      </c>
    </row>
    <row r="409" spans="1:9" x14ac:dyDescent="0.3">
      <c r="A409" s="13">
        <v>45778</v>
      </c>
      <c r="B409" t="s">
        <v>36</v>
      </c>
      <c r="C409" t="s">
        <v>66</v>
      </c>
      <c r="D409" t="str">
        <f>INDEX(Clientes!$B$4:$B$15,MATCH(B409,Clientes!$A$4:$A$15,0))</f>
        <v>Agroservicios Cartago</v>
      </c>
      <c r="E409" t="str">
        <f>INDEX(Catalogo_Servicios!$C$4:$C$24,MATCH(C409,Catalogo_Servicios!$A$4:$A$24,0))</f>
        <v>Declaración mensual de retenciones (D-103)</v>
      </c>
      <c r="F409" s="14">
        <v>0.25</v>
      </c>
      <c r="G409" s="15">
        <f>Parametros!$B$4</f>
        <v>28681</v>
      </c>
      <c r="H409" s="14">
        <f>INDEX(Clientes!$E$4:$E$15,MATCH(B409,Clientes!$A$4:$A$15,0))</f>
        <v>1</v>
      </c>
      <c r="I409" s="15">
        <f t="shared" si="6"/>
        <v>7170</v>
      </c>
    </row>
    <row r="410" spans="1:9" x14ac:dyDescent="0.3">
      <c r="A410" s="13">
        <v>45778</v>
      </c>
      <c r="B410" t="s">
        <v>38</v>
      </c>
      <c r="C410" t="s">
        <v>65</v>
      </c>
      <c r="D410" t="str">
        <f>INDEX(Clientes!$B$4:$B$15,MATCH(B410,Clientes!$A$4:$A$15,0))</f>
        <v>Panadería La Espiga</v>
      </c>
      <c r="E410" t="str">
        <f>INDEX(Catalogo_Servicios!$C$4:$C$24,MATCH(C410,Catalogo_Servicios!$A$4:$A$24,0))</f>
        <v>Declaración mensual de IVA (D-104)</v>
      </c>
      <c r="F410" s="14">
        <v>0.75</v>
      </c>
      <c r="G410" s="15">
        <f>Parametros!$B$4</f>
        <v>28681</v>
      </c>
      <c r="H410" s="14">
        <f>INDEX(Clientes!$E$4:$E$15,MATCH(B410,Clientes!$A$4:$A$15,0))</f>
        <v>1</v>
      </c>
      <c r="I410" s="15">
        <f t="shared" si="6"/>
        <v>21511</v>
      </c>
    </row>
    <row r="411" spans="1:9" x14ac:dyDescent="0.3">
      <c r="A411" s="13">
        <v>45778</v>
      </c>
      <c r="B411" t="s">
        <v>38</v>
      </c>
      <c r="C411" t="s">
        <v>67</v>
      </c>
      <c r="D411" t="str">
        <f>INDEX(Clientes!$B$4:$B$15,MATCH(B411,Clientes!$A$4:$A$15,0))</f>
        <v>Panadería La Espiga</v>
      </c>
      <c r="E411" t="str">
        <f>INDEX(Catalogo_Servicios!$C$4:$C$24,MATCH(C411,Catalogo_Servicios!$A$4:$A$24,0))</f>
        <v>Cálculo de planillas y cargas sociales (CCSS/INS)</v>
      </c>
      <c r="F411" s="14">
        <v>7.5</v>
      </c>
      <c r="G411" s="15">
        <f>Parametros!$B$4</f>
        <v>28681</v>
      </c>
      <c r="H411" s="14">
        <f>INDEX(Clientes!$E$4:$E$15,MATCH(B411,Clientes!$A$4:$A$15,0))</f>
        <v>1</v>
      </c>
      <c r="I411" s="15">
        <f t="shared" si="6"/>
        <v>215108</v>
      </c>
    </row>
    <row r="412" spans="1:9" x14ac:dyDescent="0.3">
      <c r="A412" s="13">
        <v>45809</v>
      </c>
      <c r="B412" t="s">
        <v>29</v>
      </c>
      <c r="C412" t="s">
        <v>64</v>
      </c>
      <c r="D412" t="str">
        <f>INDEX(Clientes!$B$4:$B$15,MATCH(B412,Clientes!$A$4:$A$15,0))</f>
        <v>Distribuidora Los Andes S.A.</v>
      </c>
      <c r="E412" t="str">
        <f>INDEX(Catalogo_Servicios!$C$4:$C$24,MATCH(C412,Catalogo_Servicios!$A$4:$A$24,0))</f>
        <v>Estados financieros mensuales</v>
      </c>
      <c r="F412" s="14">
        <v>3</v>
      </c>
      <c r="G412" s="15">
        <f>Parametros!$B$4</f>
        <v>28681</v>
      </c>
      <c r="H412" s="14">
        <f>INDEX(Clientes!$E$4:$E$15,MATCH(B412,Clientes!$A$4:$A$15,0))</f>
        <v>1</v>
      </c>
      <c r="I412" s="15">
        <f t="shared" si="6"/>
        <v>86043</v>
      </c>
    </row>
    <row r="413" spans="1:9" x14ac:dyDescent="0.3">
      <c r="A413" s="13">
        <v>45809</v>
      </c>
      <c r="B413" t="s">
        <v>29</v>
      </c>
      <c r="C413" t="s">
        <v>65</v>
      </c>
      <c r="D413" t="str">
        <f>INDEX(Clientes!$B$4:$B$15,MATCH(B413,Clientes!$A$4:$A$15,0))</f>
        <v>Distribuidora Los Andes S.A.</v>
      </c>
      <c r="E413" t="str">
        <f>INDEX(Catalogo_Servicios!$C$4:$C$24,MATCH(C413,Catalogo_Servicios!$A$4:$A$24,0))</f>
        <v>Declaración mensual de IVA (D-104)</v>
      </c>
      <c r="F413" s="14">
        <v>0.75</v>
      </c>
      <c r="G413" s="15">
        <f>Parametros!$B$4</f>
        <v>28681</v>
      </c>
      <c r="H413" s="14">
        <f>INDEX(Clientes!$E$4:$E$15,MATCH(B413,Clientes!$A$4:$A$15,0))</f>
        <v>1</v>
      </c>
      <c r="I413" s="15">
        <f t="shared" si="6"/>
        <v>21511</v>
      </c>
    </row>
    <row r="414" spans="1:9" x14ac:dyDescent="0.3">
      <c r="A414" s="13">
        <v>45809</v>
      </c>
      <c r="B414" t="s">
        <v>29</v>
      </c>
      <c r="C414" t="s">
        <v>66</v>
      </c>
      <c r="D414" t="str">
        <f>INDEX(Clientes!$B$4:$B$15,MATCH(B414,Clientes!$A$4:$A$15,0))</f>
        <v>Distribuidora Los Andes S.A.</v>
      </c>
      <c r="E414" t="str">
        <f>INDEX(Catalogo_Servicios!$C$4:$C$24,MATCH(C414,Catalogo_Servicios!$A$4:$A$24,0))</f>
        <v>Declaración mensual de retenciones (D-103)</v>
      </c>
      <c r="F414" s="14">
        <v>0.25</v>
      </c>
      <c r="G414" s="15">
        <f>Parametros!$B$4</f>
        <v>28681</v>
      </c>
      <c r="H414" s="14">
        <f>INDEX(Clientes!$E$4:$E$15,MATCH(B414,Clientes!$A$4:$A$15,0))</f>
        <v>1</v>
      </c>
      <c r="I414" s="15">
        <f t="shared" si="6"/>
        <v>7170</v>
      </c>
    </row>
    <row r="415" spans="1:9" x14ac:dyDescent="0.3">
      <c r="A415" s="13">
        <v>45809</v>
      </c>
      <c r="B415" t="s">
        <v>29</v>
      </c>
      <c r="C415" t="s">
        <v>67</v>
      </c>
      <c r="D415" t="str">
        <f>INDEX(Clientes!$B$4:$B$15,MATCH(B415,Clientes!$A$4:$A$15,0))</f>
        <v>Distribuidora Los Andes S.A.</v>
      </c>
      <c r="E415" t="str">
        <f>INDEX(Catalogo_Servicios!$C$4:$C$24,MATCH(C415,Catalogo_Servicios!$A$4:$A$24,0))</f>
        <v>Cálculo de planillas y cargas sociales (CCSS/INS)</v>
      </c>
      <c r="F415" s="14">
        <v>27.5</v>
      </c>
      <c r="G415" s="15">
        <f>Parametros!$B$4</f>
        <v>28681</v>
      </c>
      <c r="H415" s="14">
        <f>INDEX(Clientes!$E$4:$E$15,MATCH(B415,Clientes!$A$4:$A$15,0))</f>
        <v>1</v>
      </c>
      <c r="I415" s="15">
        <f t="shared" si="6"/>
        <v>788728</v>
      </c>
    </row>
    <row r="416" spans="1:9" x14ac:dyDescent="0.3">
      <c r="A416" s="13">
        <v>45809</v>
      </c>
      <c r="B416" t="s">
        <v>30</v>
      </c>
      <c r="C416" t="s">
        <v>64</v>
      </c>
      <c r="D416" t="str">
        <f>INDEX(Clientes!$B$4:$B$15,MATCH(B416,Clientes!$A$4:$A$15,0))</f>
        <v>Ferretería El Tornillo</v>
      </c>
      <c r="E416" t="str">
        <f>INDEX(Catalogo_Servicios!$C$4:$C$24,MATCH(C416,Catalogo_Servicios!$A$4:$A$24,0))</f>
        <v>Estados financieros mensuales</v>
      </c>
      <c r="F416" s="14">
        <v>3.25</v>
      </c>
      <c r="G416" s="15">
        <f>Parametros!$B$4</f>
        <v>28681</v>
      </c>
      <c r="H416" s="14">
        <f>INDEX(Clientes!$E$4:$E$15,MATCH(B416,Clientes!$A$4:$A$15,0))</f>
        <v>1</v>
      </c>
      <c r="I416" s="15">
        <f t="shared" si="6"/>
        <v>93213</v>
      </c>
    </row>
    <row r="417" spans="1:9" x14ac:dyDescent="0.3">
      <c r="A417" s="13">
        <v>45809</v>
      </c>
      <c r="B417" t="s">
        <v>30</v>
      </c>
      <c r="C417" t="s">
        <v>65</v>
      </c>
      <c r="D417" t="str">
        <f>INDEX(Clientes!$B$4:$B$15,MATCH(B417,Clientes!$A$4:$A$15,0))</f>
        <v>Ferretería El Tornillo</v>
      </c>
      <c r="E417" t="str">
        <f>INDEX(Catalogo_Servicios!$C$4:$C$24,MATCH(C417,Catalogo_Servicios!$A$4:$A$24,0))</f>
        <v>Declaración mensual de IVA (D-104)</v>
      </c>
      <c r="F417" s="14">
        <v>0.75</v>
      </c>
      <c r="G417" s="15">
        <f>Parametros!$B$4</f>
        <v>28681</v>
      </c>
      <c r="H417" s="14">
        <f>INDEX(Clientes!$E$4:$E$15,MATCH(B417,Clientes!$A$4:$A$15,0))</f>
        <v>1</v>
      </c>
      <c r="I417" s="15">
        <f t="shared" si="6"/>
        <v>21511</v>
      </c>
    </row>
    <row r="418" spans="1:9" x14ac:dyDescent="0.3">
      <c r="A418" s="13">
        <v>45809</v>
      </c>
      <c r="B418" t="s">
        <v>30</v>
      </c>
      <c r="C418" t="s">
        <v>66</v>
      </c>
      <c r="D418" t="str">
        <f>INDEX(Clientes!$B$4:$B$15,MATCH(B418,Clientes!$A$4:$A$15,0))</f>
        <v>Ferretería El Tornillo</v>
      </c>
      <c r="E418" t="str">
        <f>INDEX(Catalogo_Servicios!$C$4:$C$24,MATCH(C418,Catalogo_Servicios!$A$4:$A$24,0))</f>
        <v>Declaración mensual de retenciones (D-103)</v>
      </c>
      <c r="F418" s="14">
        <v>0.25</v>
      </c>
      <c r="G418" s="15">
        <f>Parametros!$B$4</f>
        <v>28681</v>
      </c>
      <c r="H418" s="14">
        <f>INDEX(Clientes!$E$4:$E$15,MATCH(B418,Clientes!$A$4:$A$15,0))</f>
        <v>1</v>
      </c>
      <c r="I418" s="15">
        <f t="shared" si="6"/>
        <v>7170</v>
      </c>
    </row>
    <row r="419" spans="1:9" x14ac:dyDescent="0.3">
      <c r="A419" s="13">
        <v>45809</v>
      </c>
      <c r="B419" t="s">
        <v>30</v>
      </c>
      <c r="C419" t="s">
        <v>74</v>
      </c>
      <c r="D419" t="str">
        <f>INDEX(Clientes!$B$4:$B$15,MATCH(B419,Clientes!$A$4:$A$15,0))</f>
        <v>Ferretería El Tornillo</v>
      </c>
      <c r="E419" t="str">
        <f>INDEX(Catalogo_Servicios!$C$4:$C$24,MATCH(C419,Catalogo_Servicios!$A$4:$A$24,0))</f>
        <v>Certificación de ingresos y estudios generales</v>
      </c>
      <c r="F419" s="14">
        <v>3</v>
      </c>
      <c r="G419" s="15">
        <f>Parametros!$B$4</f>
        <v>28681</v>
      </c>
      <c r="H419" s="14">
        <f>INDEX(Clientes!$E$4:$E$15,MATCH(B419,Clientes!$A$4:$A$15,0))</f>
        <v>1</v>
      </c>
      <c r="I419" s="15">
        <f t="shared" si="6"/>
        <v>86043</v>
      </c>
    </row>
    <row r="420" spans="1:9" x14ac:dyDescent="0.3">
      <c r="A420" s="13">
        <v>45809</v>
      </c>
      <c r="B420" t="s">
        <v>31</v>
      </c>
      <c r="C420" t="s">
        <v>65</v>
      </c>
      <c r="D420" t="str">
        <f>INDEX(Clientes!$B$4:$B$15,MATCH(B420,Clientes!$A$4:$A$15,0))</f>
        <v>Clínica Dental Sonrisa</v>
      </c>
      <c r="E420" t="str">
        <f>INDEX(Catalogo_Servicios!$C$4:$C$24,MATCH(C420,Catalogo_Servicios!$A$4:$A$24,0))</f>
        <v>Declaración mensual de IVA (D-104)</v>
      </c>
      <c r="F420" s="14">
        <v>0.75</v>
      </c>
      <c r="G420" s="15">
        <f>Parametros!$B$4</f>
        <v>28681</v>
      </c>
      <c r="H420" s="14">
        <f>INDEX(Clientes!$E$4:$E$15,MATCH(B420,Clientes!$A$4:$A$15,0))</f>
        <v>1.1000000000000001</v>
      </c>
      <c r="I420" s="15">
        <f t="shared" si="6"/>
        <v>23662</v>
      </c>
    </row>
    <row r="421" spans="1:9" x14ac:dyDescent="0.3">
      <c r="A421" s="13">
        <v>45809</v>
      </c>
      <c r="B421" t="s">
        <v>32</v>
      </c>
      <c r="C421" t="s">
        <v>65</v>
      </c>
      <c r="D421" t="str">
        <f>INDEX(Clientes!$B$4:$B$15,MATCH(B421,Clientes!$A$4:$A$15,0))</f>
        <v>Soda y Restaurante Doña Lela</v>
      </c>
      <c r="E421" t="str">
        <f>INDEX(Catalogo_Servicios!$C$4:$C$24,MATCH(C421,Catalogo_Servicios!$A$4:$A$24,0))</f>
        <v>Declaración mensual de IVA (D-104)</v>
      </c>
      <c r="F421" s="14">
        <v>0.75</v>
      </c>
      <c r="G421" s="15">
        <f>Parametros!$B$4</f>
        <v>28681</v>
      </c>
      <c r="H421" s="14">
        <f>INDEX(Clientes!$E$4:$E$15,MATCH(B421,Clientes!$A$4:$A$15,0))</f>
        <v>1</v>
      </c>
      <c r="I421" s="15">
        <f t="shared" si="6"/>
        <v>21511</v>
      </c>
    </row>
    <row r="422" spans="1:9" x14ac:dyDescent="0.3">
      <c r="A422" s="13">
        <v>45809</v>
      </c>
      <c r="B422" t="s">
        <v>33</v>
      </c>
      <c r="C422" t="s">
        <v>65</v>
      </c>
      <c r="D422" t="str">
        <f>INDEX(Clientes!$B$4:$B$15,MATCH(B422,Clientes!$A$4:$A$15,0))</f>
        <v>Transportes Rápidos del Valle</v>
      </c>
      <c r="E422" t="str">
        <f>INDEX(Catalogo_Servicios!$C$4:$C$24,MATCH(C422,Catalogo_Servicios!$A$4:$A$24,0))</f>
        <v>Declaración mensual de IVA (D-104)</v>
      </c>
      <c r="F422" s="14">
        <v>1</v>
      </c>
      <c r="G422" s="15">
        <f>Parametros!$B$4</f>
        <v>28681</v>
      </c>
      <c r="H422" s="14">
        <f>INDEX(Clientes!$E$4:$E$15,MATCH(B422,Clientes!$A$4:$A$15,0))</f>
        <v>1</v>
      </c>
      <c r="I422" s="15">
        <f t="shared" si="6"/>
        <v>28681</v>
      </c>
    </row>
    <row r="423" spans="1:9" x14ac:dyDescent="0.3">
      <c r="A423" s="13">
        <v>45809</v>
      </c>
      <c r="B423" t="s">
        <v>33</v>
      </c>
      <c r="C423" t="s">
        <v>66</v>
      </c>
      <c r="D423" t="str">
        <f>INDEX(Clientes!$B$4:$B$15,MATCH(B423,Clientes!$A$4:$A$15,0))</f>
        <v>Transportes Rápidos del Valle</v>
      </c>
      <c r="E423" t="str">
        <f>INDEX(Catalogo_Servicios!$C$4:$C$24,MATCH(C423,Catalogo_Servicios!$A$4:$A$24,0))</f>
        <v>Declaración mensual de retenciones (D-103)</v>
      </c>
      <c r="F423" s="14">
        <v>0.25</v>
      </c>
      <c r="G423" s="15">
        <f>Parametros!$B$4</f>
        <v>28681</v>
      </c>
      <c r="H423" s="14">
        <f>INDEX(Clientes!$E$4:$E$15,MATCH(B423,Clientes!$A$4:$A$15,0))</f>
        <v>1</v>
      </c>
      <c r="I423" s="15">
        <f t="shared" si="6"/>
        <v>7170</v>
      </c>
    </row>
    <row r="424" spans="1:9" x14ac:dyDescent="0.3">
      <c r="A424" s="13">
        <v>45809</v>
      </c>
      <c r="B424" t="s">
        <v>33</v>
      </c>
      <c r="C424" t="s">
        <v>67</v>
      </c>
      <c r="D424" t="str">
        <f>INDEX(Clientes!$B$4:$B$15,MATCH(B424,Clientes!$A$4:$A$15,0))</f>
        <v>Transportes Rápidos del Valle</v>
      </c>
      <c r="E424" t="str">
        <f>INDEX(Catalogo_Servicios!$C$4:$C$24,MATCH(C424,Catalogo_Servicios!$A$4:$A$24,0))</f>
        <v>Cálculo de planillas y cargas sociales (CCSS/INS)</v>
      </c>
      <c r="F424" s="14">
        <v>5.5</v>
      </c>
      <c r="G424" s="15">
        <f>Parametros!$B$4</f>
        <v>28681</v>
      </c>
      <c r="H424" s="14">
        <f>INDEX(Clientes!$E$4:$E$15,MATCH(B424,Clientes!$A$4:$A$15,0))</f>
        <v>1</v>
      </c>
      <c r="I424" s="15">
        <f t="shared" si="6"/>
        <v>157746</v>
      </c>
    </row>
    <row r="425" spans="1:9" x14ac:dyDescent="0.3">
      <c r="A425" s="13">
        <v>45809</v>
      </c>
      <c r="B425" t="s">
        <v>34</v>
      </c>
      <c r="C425" t="s">
        <v>68</v>
      </c>
      <c r="D425" t="str">
        <f>INDEX(Clientes!$B$4:$B$15,MATCH(B425,Clientes!$A$4:$A$15,0))</f>
        <v>Boutique Luna Nueva</v>
      </c>
      <c r="E425" t="str">
        <f>INDEX(Catalogo_Servicios!$C$4:$C$24,MATCH(C425,Catalogo_Servicios!$A$4:$A$24,0))</f>
        <v>Asesoría contable, financiera y tributaria</v>
      </c>
      <c r="F425" s="14">
        <v>1</v>
      </c>
      <c r="G425" s="15">
        <f>Parametros!$B$4</f>
        <v>28681</v>
      </c>
      <c r="H425" s="14">
        <f>INDEX(Clientes!$E$4:$E$15,MATCH(B425,Clientes!$A$4:$A$15,0))</f>
        <v>1.1499999999999999</v>
      </c>
      <c r="I425" s="15">
        <f t="shared" si="6"/>
        <v>32983</v>
      </c>
    </row>
    <row r="426" spans="1:9" x14ac:dyDescent="0.3">
      <c r="A426" s="13">
        <v>45809</v>
      </c>
      <c r="B426" t="s">
        <v>35</v>
      </c>
      <c r="C426" t="s">
        <v>65</v>
      </c>
      <c r="D426" t="str">
        <f>INDEX(Clientes!$B$4:$B$15,MATCH(B426,Clientes!$A$4:$A$15,0))</f>
        <v>Taller Mecánico Hermanos Mora</v>
      </c>
      <c r="E426" t="str">
        <f>INDEX(Catalogo_Servicios!$C$4:$C$24,MATCH(C426,Catalogo_Servicios!$A$4:$A$24,0))</f>
        <v>Declaración mensual de IVA (D-104)</v>
      </c>
      <c r="F426" s="14">
        <v>0.75</v>
      </c>
      <c r="G426" s="15">
        <f>Parametros!$B$4</f>
        <v>28681</v>
      </c>
      <c r="H426" s="14">
        <f>INDEX(Clientes!$E$4:$E$15,MATCH(B426,Clientes!$A$4:$A$15,0))</f>
        <v>1</v>
      </c>
      <c r="I426" s="15">
        <f t="shared" si="6"/>
        <v>21511</v>
      </c>
    </row>
    <row r="427" spans="1:9" x14ac:dyDescent="0.3">
      <c r="A427" s="13">
        <v>45809</v>
      </c>
      <c r="B427" t="s">
        <v>36</v>
      </c>
      <c r="C427" t="s">
        <v>65</v>
      </c>
      <c r="D427" t="str">
        <f>INDEX(Clientes!$B$4:$B$15,MATCH(B427,Clientes!$A$4:$A$15,0))</f>
        <v>Agroservicios Cartago</v>
      </c>
      <c r="E427" t="str">
        <f>INDEX(Catalogo_Servicios!$C$4:$C$24,MATCH(C427,Catalogo_Servicios!$A$4:$A$24,0))</f>
        <v>Declaración mensual de IVA (D-104)</v>
      </c>
      <c r="F427" s="14">
        <v>0.75</v>
      </c>
      <c r="G427" s="15">
        <f>Parametros!$B$4</f>
        <v>28681</v>
      </c>
      <c r="H427" s="14">
        <f>INDEX(Clientes!$E$4:$E$15,MATCH(B427,Clientes!$A$4:$A$15,0))</f>
        <v>1</v>
      </c>
      <c r="I427" s="15">
        <f t="shared" si="6"/>
        <v>21511</v>
      </c>
    </row>
    <row r="428" spans="1:9" x14ac:dyDescent="0.3">
      <c r="A428" s="13">
        <v>45809</v>
      </c>
      <c r="B428" t="s">
        <v>36</v>
      </c>
      <c r="C428" t="s">
        <v>66</v>
      </c>
      <c r="D428" t="str">
        <f>INDEX(Clientes!$B$4:$B$15,MATCH(B428,Clientes!$A$4:$A$15,0))</f>
        <v>Agroservicios Cartago</v>
      </c>
      <c r="E428" t="str">
        <f>INDEX(Catalogo_Servicios!$C$4:$C$24,MATCH(C428,Catalogo_Servicios!$A$4:$A$24,0))</f>
        <v>Declaración mensual de retenciones (D-103)</v>
      </c>
      <c r="F428" s="14">
        <v>0.25</v>
      </c>
      <c r="G428" s="15">
        <f>Parametros!$B$4</f>
        <v>28681</v>
      </c>
      <c r="H428" s="14">
        <f>INDEX(Clientes!$E$4:$E$15,MATCH(B428,Clientes!$A$4:$A$15,0))</f>
        <v>1</v>
      </c>
      <c r="I428" s="15">
        <f t="shared" si="6"/>
        <v>7170</v>
      </c>
    </row>
    <row r="429" spans="1:9" x14ac:dyDescent="0.3">
      <c r="A429" s="13">
        <v>45809</v>
      </c>
      <c r="B429" t="s">
        <v>38</v>
      </c>
      <c r="C429" t="s">
        <v>65</v>
      </c>
      <c r="D429" t="str">
        <f>INDEX(Clientes!$B$4:$B$15,MATCH(B429,Clientes!$A$4:$A$15,0))</f>
        <v>Panadería La Espiga</v>
      </c>
      <c r="E429" t="str">
        <f>INDEX(Catalogo_Servicios!$C$4:$C$24,MATCH(C429,Catalogo_Servicios!$A$4:$A$24,0))</f>
        <v>Declaración mensual de IVA (D-104)</v>
      </c>
      <c r="F429" s="14">
        <v>0.75</v>
      </c>
      <c r="G429" s="15">
        <f>Parametros!$B$4</f>
        <v>28681</v>
      </c>
      <c r="H429" s="14">
        <f>INDEX(Clientes!$E$4:$E$15,MATCH(B429,Clientes!$A$4:$A$15,0))</f>
        <v>1</v>
      </c>
      <c r="I429" s="15">
        <f t="shared" si="6"/>
        <v>21511</v>
      </c>
    </row>
    <row r="430" spans="1:9" x14ac:dyDescent="0.3">
      <c r="A430" s="13">
        <v>45809</v>
      </c>
      <c r="B430" t="s">
        <v>38</v>
      </c>
      <c r="C430" t="s">
        <v>67</v>
      </c>
      <c r="D430" t="str">
        <f>INDEX(Clientes!$B$4:$B$15,MATCH(B430,Clientes!$A$4:$A$15,0))</f>
        <v>Panadería La Espiga</v>
      </c>
      <c r="E430" t="str">
        <f>INDEX(Catalogo_Servicios!$C$4:$C$24,MATCH(C430,Catalogo_Servicios!$A$4:$A$24,0))</f>
        <v>Cálculo de planillas y cargas sociales (CCSS/INS)</v>
      </c>
      <c r="F430" s="14">
        <v>6.5</v>
      </c>
      <c r="G430" s="15">
        <f>Parametros!$B$4</f>
        <v>28681</v>
      </c>
      <c r="H430" s="14">
        <f>INDEX(Clientes!$E$4:$E$15,MATCH(B430,Clientes!$A$4:$A$15,0))</f>
        <v>1</v>
      </c>
      <c r="I430" s="15">
        <f t="shared" si="6"/>
        <v>186427</v>
      </c>
    </row>
    <row r="431" spans="1:9" x14ac:dyDescent="0.3">
      <c r="A431" s="13">
        <v>45839</v>
      </c>
      <c r="B431" t="s">
        <v>29</v>
      </c>
      <c r="C431" t="s">
        <v>64</v>
      </c>
      <c r="D431" t="str">
        <f>INDEX(Clientes!$B$4:$B$15,MATCH(B431,Clientes!$A$4:$A$15,0))</f>
        <v>Distribuidora Los Andes S.A.</v>
      </c>
      <c r="E431" t="str">
        <f>INDEX(Catalogo_Servicios!$C$4:$C$24,MATCH(C431,Catalogo_Servicios!$A$4:$A$24,0))</f>
        <v>Estados financieros mensuales</v>
      </c>
      <c r="F431" s="14">
        <v>3</v>
      </c>
      <c r="G431" s="15">
        <f>Parametros!$B$4</f>
        <v>28681</v>
      </c>
      <c r="H431" s="14">
        <f>INDEX(Clientes!$E$4:$E$15,MATCH(B431,Clientes!$A$4:$A$15,0))</f>
        <v>1</v>
      </c>
      <c r="I431" s="15">
        <f t="shared" si="6"/>
        <v>86043</v>
      </c>
    </row>
    <row r="432" spans="1:9" x14ac:dyDescent="0.3">
      <c r="A432" s="13">
        <v>45839</v>
      </c>
      <c r="B432" t="s">
        <v>29</v>
      </c>
      <c r="C432" t="s">
        <v>65</v>
      </c>
      <c r="D432" t="str">
        <f>INDEX(Clientes!$B$4:$B$15,MATCH(B432,Clientes!$A$4:$A$15,0))</f>
        <v>Distribuidora Los Andes S.A.</v>
      </c>
      <c r="E432" t="str">
        <f>INDEX(Catalogo_Servicios!$C$4:$C$24,MATCH(C432,Catalogo_Servicios!$A$4:$A$24,0))</f>
        <v>Declaración mensual de IVA (D-104)</v>
      </c>
      <c r="F432" s="14">
        <v>0.75</v>
      </c>
      <c r="G432" s="15">
        <f>Parametros!$B$4</f>
        <v>28681</v>
      </c>
      <c r="H432" s="14">
        <f>INDEX(Clientes!$E$4:$E$15,MATCH(B432,Clientes!$A$4:$A$15,0))</f>
        <v>1</v>
      </c>
      <c r="I432" s="15">
        <f t="shared" si="6"/>
        <v>21511</v>
      </c>
    </row>
    <row r="433" spans="1:9" x14ac:dyDescent="0.3">
      <c r="A433" s="13">
        <v>45839</v>
      </c>
      <c r="B433" t="s">
        <v>29</v>
      </c>
      <c r="C433" t="s">
        <v>66</v>
      </c>
      <c r="D433" t="str">
        <f>INDEX(Clientes!$B$4:$B$15,MATCH(B433,Clientes!$A$4:$A$15,0))</f>
        <v>Distribuidora Los Andes S.A.</v>
      </c>
      <c r="E433" t="str">
        <f>INDEX(Catalogo_Servicios!$C$4:$C$24,MATCH(C433,Catalogo_Servicios!$A$4:$A$24,0))</f>
        <v>Declaración mensual de retenciones (D-103)</v>
      </c>
      <c r="F433" s="14">
        <v>0.25</v>
      </c>
      <c r="G433" s="15">
        <f>Parametros!$B$4</f>
        <v>28681</v>
      </c>
      <c r="H433" s="14">
        <f>INDEX(Clientes!$E$4:$E$15,MATCH(B433,Clientes!$A$4:$A$15,0))</f>
        <v>1</v>
      </c>
      <c r="I433" s="15">
        <f t="shared" si="6"/>
        <v>7170</v>
      </c>
    </row>
    <row r="434" spans="1:9" x14ac:dyDescent="0.3">
      <c r="A434" s="13">
        <v>45839</v>
      </c>
      <c r="B434" t="s">
        <v>29</v>
      </c>
      <c r="C434" t="s">
        <v>67</v>
      </c>
      <c r="D434" t="str">
        <f>INDEX(Clientes!$B$4:$B$15,MATCH(B434,Clientes!$A$4:$A$15,0))</f>
        <v>Distribuidora Los Andes S.A.</v>
      </c>
      <c r="E434" t="str">
        <f>INDEX(Catalogo_Servicios!$C$4:$C$24,MATCH(C434,Catalogo_Servicios!$A$4:$A$24,0))</f>
        <v>Cálculo de planillas y cargas sociales (CCSS/INS)</v>
      </c>
      <c r="F434" s="14">
        <v>21.5</v>
      </c>
      <c r="G434" s="15">
        <f>Parametros!$B$4</f>
        <v>28681</v>
      </c>
      <c r="H434" s="14">
        <f>INDEX(Clientes!$E$4:$E$15,MATCH(B434,Clientes!$A$4:$A$15,0))</f>
        <v>1</v>
      </c>
      <c r="I434" s="15">
        <f t="shared" si="6"/>
        <v>616642</v>
      </c>
    </row>
    <row r="435" spans="1:9" x14ac:dyDescent="0.3">
      <c r="A435" s="13">
        <v>45839</v>
      </c>
      <c r="B435" t="s">
        <v>30</v>
      </c>
      <c r="C435" t="s">
        <v>64</v>
      </c>
      <c r="D435" t="str">
        <f>INDEX(Clientes!$B$4:$B$15,MATCH(B435,Clientes!$A$4:$A$15,0))</f>
        <v>Ferretería El Tornillo</v>
      </c>
      <c r="E435" t="str">
        <f>INDEX(Catalogo_Servicios!$C$4:$C$24,MATCH(C435,Catalogo_Servicios!$A$4:$A$24,0))</f>
        <v>Estados financieros mensuales</v>
      </c>
      <c r="F435" s="14">
        <v>3.5</v>
      </c>
      <c r="G435" s="15">
        <f>Parametros!$B$4</f>
        <v>28681</v>
      </c>
      <c r="H435" s="14">
        <f>INDEX(Clientes!$E$4:$E$15,MATCH(B435,Clientes!$A$4:$A$15,0))</f>
        <v>1</v>
      </c>
      <c r="I435" s="15">
        <f t="shared" si="6"/>
        <v>100384</v>
      </c>
    </row>
    <row r="436" spans="1:9" x14ac:dyDescent="0.3">
      <c r="A436" s="13">
        <v>45839</v>
      </c>
      <c r="B436" t="s">
        <v>30</v>
      </c>
      <c r="C436" t="s">
        <v>65</v>
      </c>
      <c r="D436" t="str">
        <f>INDEX(Clientes!$B$4:$B$15,MATCH(B436,Clientes!$A$4:$A$15,0))</f>
        <v>Ferretería El Tornillo</v>
      </c>
      <c r="E436" t="str">
        <f>INDEX(Catalogo_Servicios!$C$4:$C$24,MATCH(C436,Catalogo_Servicios!$A$4:$A$24,0))</f>
        <v>Declaración mensual de IVA (D-104)</v>
      </c>
      <c r="F436" s="14">
        <v>0.75</v>
      </c>
      <c r="G436" s="15">
        <f>Parametros!$B$4</f>
        <v>28681</v>
      </c>
      <c r="H436" s="14">
        <f>INDEX(Clientes!$E$4:$E$15,MATCH(B436,Clientes!$A$4:$A$15,0))</f>
        <v>1</v>
      </c>
      <c r="I436" s="15">
        <f t="shared" si="6"/>
        <v>21511</v>
      </c>
    </row>
    <row r="437" spans="1:9" x14ac:dyDescent="0.3">
      <c r="A437" s="13">
        <v>45839</v>
      </c>
      <c r="B437" t="s">
        <v>30</v>
      </c>
      <c r="C437" t="s">
        <v>66</v>
      </c>
      <c r="D437" t="str">
        <f>INDEX(Clientes!$B$4:$B$15,MATCH(B437,Clientes!$A$4:$A$15,0))</f>
        <v>Ferretería El Tornillo</v>
      </c>
      <c r="E437" t="str">
        <f>INDEX(Catalogo_Servicios!$C$4:$C$24,MATCH(C437,Catalogo_Servicios!$A$4:$A$24,0))</f>
        <v>Declaración mensual de retenciones (D-103)</v>
      </c>
      <c r="F437" s="14">
        <v>0.25</v>
      </c>
      <c r="G437" s="15">
        <f>Parametros!$B$4</f>
        <v>28681</v>
      </c>
      <c r="H437" s="14">
        <f>INDEX(Clientes!$E$4:$E$15,MATCH(B437,Clientes!$A$4:$A$15,0))</f>
        <v>1</v>
      </c>
      <c r="I437" s="15">
        <f t="shared" si="6"/>
        <v>7170</v>
      </c>
    </row>
    <row r="438" spans="1:9" x14ac:dyDescent="0.3">
      <c r="A438" s="13">
        <v>45839</v>
      </c>
      <c r="B438" t="s">
        <v>31</v>
      </c>
      <c r="C438" t="s">
        <v>65</v>
      </c>
      <c r="D438" t="str">
        <f>INDEX(Clientes!$B$4:$B$15,MATCH(B438,Clientes!$A$4:$A$15,0))</f>
        <v>Clínica Dental Sonrisa</v>
      </c>
      <c r="E438" t="str">
        <f>INDEX(Catalogo_Servicios!$C$4:$C$24,MATCH(C438,Catalogo_Servicios!$A$4:$A$24,0))</f>
        <v>Declaración mensual de IVA (D-104)</v>
      </c>
      <c r="F438" s="14">
        <v>0.75</v>
      </c>
      <c r="G438" s="15">
        <f>Parametros!$B$4</f>
        <v>28681</v>
      </c>
      <c r="H438" s="14">
        <f>INDEX(Clientes!$E$4:$E$15,MATCH(B438,Clientes!$A$4:$A$15,0))</f>
        <v>1.1000000000000001</v>
      </c>
      <c r="I438" s="15">
        <f t="shared" si="6"/>
        <v>23662</v>
      </c>
    </row>
    <row r="439" spans="1:9" x14ac:dyDescent="0.3">
      <c r="A439" s="13">
        <v>45839</v>
      </c>
      <c r="B439" t="s">
        <v>32</v>
      </c>
      <c r="C439" t="s">
        <v>65</v>
      </c>
      <c r="D439" t="str">
        <f>INDEX(Clientes!$B$4:$B$15,MATCH(B439,Clientes!$A$4:$A$15,0))</f>
        <v>Soda y Restaurante Doña Lela</v>
      </c>
      <c r="E439" t="str">
        <f>INDEX(Catalogo_Servicios!$C$4:$C$24,MATCH(C439,Catalogo_Servicios!$A$4:$A$24,0))</f>
        <v>Declaración mensual de IVA (D-104)</v>
      </c>
      <c r="F439" s="14">
        <v>1</v>
      </c>
      <c r="G439" s="15">
        <f>Parametros!$B$4</f>
        <v>28681</v>
      </c>
      <c r="H439" s="14">
        <f>INDEX(Clientes!$E$4:$E$15,MATCH(B439,Clientes!$A$4:$A$15,0))</f>
        <v>1</v>
      </c>
      <c r="I439" s="15">
        <f t="shared" si="6"/>
        <v>28681</v>
      </c>
    </row>
    <row r="440" spans="1:9" x14ac:dyDescent="0.3">
      <c r="A440" s="13">
        <v>45839</v>
      </c>
      <c r="B440" t="s">
        <v>33</v>
      </c>
      <c r="C440" t="s">
        <v>65</v>
      </c>
      <c r="D440" t="str">
        <f>INDEX(Clientes!$B$4:$B$15,MATCH(B440,Clientes!$A$4:$A$15,0))</f>
        <v>Transportes Rápidos del Valle</v>
      </c>
      <c r="E440" t="str">
        <f>INDEX(Catalogo_Servicios!$C$4:$C$24,MATCH(C440,Catalogo_Servicios!$A$4:$A$24,0))</f>
        <v>Declaración mensual de IVA (D-104)</v>
      </c>
      <c r="F440" s="14">
        <v>0.75</v>
      </c>
      <c r="G440" s="15">
        <f>Parametros!$B$4</f>
        <v>28681</v>
      </c>
      <c r="H440" s="14">
        <f>INDEX(Clientes!$E$4:$E$15,MATCH(B440,Clientes!$A$4:$A$15,0))</f>
        <v>1</v>
      </c>
      <c r="I440" s="15">
        <f t="shared" si="6"/>
        <v>21511</v>
      </c>
    </row>
    <row r="441" spans="1:9" x14ac:dyDescent="0.3">
      <c r="A441" s="13">
        <v>45839</v>
      </c>
      <c r="B441" t="s">
        <v>33</v>
      </c>
      <c r="C441" t="s">
        <v>66</v>
      </c>
      <c r="D441" t="str">
        <f>INDEX(Clientes!$B$4:$B$15,MATCH(B441,Clientes!$A$4:$A$15,0))</f>
        <v>Transportes Rápidos del Valle</v>
      </c>
      <c r="E441" t="str">
        <f>INDEX(Catalogo_Servicios!$C$4:$C$24,MATCH(C441,Catalogo_Servicios!$A$4:$A$24,0))</f>
        <v>Declaración mensual de retenciones (D-103)</v>
      </c>
      <c r="F441" s="14">
        <v>0.25</v>
      </c>
      <c r="G441" s="15">
        <f>Parametros!$B$4</f>
        <v>28681</v>
      </c>
      <c r="H441" s="14">
        <f>INDEX(Clientes!$E$4:$E$15,MATCH(B441,Clientes!$A$4:$A$15,0))</f>
        <v>1</v>
      </c>
      <c r="I441" s="15">
        <f t="shared" si="6"/>
        <v>7170</v>
      </c>
    </row>
    <row r="442" spans="1:9" x14ac:dyDescent="0.3">
      <c r="A442" s="13">
        <v>45839</v>
      </c>
      <c r="B442" t="s">
        <v>33</v>
      </c>
      <c r="C442" t="s">
        <v>67</v>
      </c>
      <c r="D442" t="str">
        <f>INDEX(Clientes!$B$4:$B$15,MATCH(B442,Clientes!$A$4:$A$15,0))</f>
        <v>Transportes Rápidos del Valle</v>
      </c>
      <c r="E442" t="str">
        <f>INDEX(Catalogo_Servicios!$C$4:$C$24,MATCH(C442,Catalogo_Servicios!$A$4:$A$24,0))</f>
        <v>Cálculo de planillas y cargas sociales (CCSS/INS)</v>
      </c>
      <c r="F442" s="14">
        <v>6.5</v>
      </c>
      <c r="G442" s="15">
        <f>Parametros!$B$4</f>
        <v>28681</v>
      </c>
      <c r="H442" s="14">
        <f>INDEX(Clientes!$E$4:$E$15,MATCH(B442,Clientes!$A$4:$A$15,0))</f>
        <v>1</v>
      </c>
      <c r="I442" s="15">
        <f t="shared" si="6"/>
        <v>186427</v>
      </c>
    </row>
    <row r="443" spans="1:9" x14ac:dyDescent="0.3">
      <c r="A443" s="13">
        <v>45839</v>
      </c>
      <c r="B443" t="s">
        <v>35</v>
      </c>
      <c r="C443" t="s">
        <v>65</v>
      </c>
      <c r="D443" t="str">
        <f>INDEX(Clientes!$B$4:$B$15,MATCH(B443,Clientes!$A$4:$A$15,0))</f>
        <v>Taller Mecánico Hermanos Mora</v>
      </c>
      <c r="E443" t="str">
        <f>INDEX(Catalogo_Servicios!$C$4:$C$24,MATCH(C443,Catalogo_Servicios!$A$4:$A$24,0))</f>
        <v>Declaración mensual de IVA (D-104)</v>
      </c>
      <c r="F443" s="14">
        <v>0.75</v>
      </c>
      <c r="G443" s="15">
        <f>Parametros!$B$4</f>
        <v>28681</v>
      </c>
      <c r="H443" s="14">
        <f>INDEX(Clientes!$E$4:$E$15,MATCH(B443,Clientes!$A$4:$A$15,0))</f>
        <v>1</v>
      </c>
      <c r="I443" s="15">
        <f t="shared" si="6"/>
        <v>21511</v>
      </c>
    </row>
    <row r="444" spans="1:9" x14ac:dyDescent="0.3">
      <c r="A444" s="13">
        <v>45839</v>
      </c>
      <c r="B444" t="s">
        <v>36</v>
      </c>
      <c r="C444" t="s">
        <v>65</v>
      </c>
      <c r="D444" t="str">
        <f>INDEX(Clientes!$B$4:$B$15,MATCH(B444,Clientes!$A$4:$A$15,0))</f>
        <v>Agroservicios Cartago</v>
      </c>
      <c r="E444" t="str">
        <f>INDEX(Catalogo_Servicios!$C$4:$C$24,MATCH(C444,Catalogo_Servicios!$A$4:$A$24,0))</f>
        <v>Declaración mensual de IVA (D-104)</v>
      </c>
      <c r="F444" s="14">
        <v>0.75</v>
      </c>
      <c r="G444" s="15">
        <f>Parametros!$B$4</f>
        <v>28681</v>
      </c>
      <c r="H444" s="14">
        <f>INDEX(Clientes!$E$4:$E$15,MATCH(B444,Clientes!$A$4:$A$15,0))</f>
        <v>1</v>
      </c>
      <c r="I444" s="15">
        <f t="shared" si="6"/>
        <v>21511</v>
      </c>
    </row>
    <row r="445" spans="1:9" x14ac:dyDescent="0.3">
      <c r="A445" s="13">
        <v>45839</v>
      </c>
      <c r="B445" t="s">
        <v>36</v>
      </c>
      <c r="C445" t="s">
        <v>66</v>
      </c>
      <c r="D445" t="str">
        <f>INDEX(Clientes!$B$4:$B$15,MATCH(B445,Clientes!$A$4:$A$15,0))</f>
        <v>Agroservicios Cartago</v>
      </c>
      <c r="E445" t="str">
        <f>INDEX(Catalogo_Servicios!$C$4:$C$24,MATCH(C445,Catalogo_Servicios!$A$4:$A$24,0))</f>
        <v>Declaración mensual de retenciones (D-103)</v>
      </c>
      <c r="F445" s="14">
        <v>0.25</v>
      </c>
      <c r="G445" s="15">
        <f>Parametros!$B$4</f>
        <v>28681</v>
      </c>
      <c r="H445" s="14">
        <f>INDEX(Clientes!$E$4:$E$15,MATCH(B445,Clientes!$A$4:$A$15,0))</f>
        <v>1</v>
      </c>
      <c r="I445" s="15">
        <f t="shared" si="6"/>
        <v>7170</v>
      </c>
    </row>
    <row r="446" spans="1:9" x14ac:dyDescent="0.3">
      <c r="A446" s="13">
        <v>45839</v>
      </c>
      <c r="B446" t="s">
        <v>38</v>
      </c>
      <c r="C446" t="s">
        <v>65</v>
      </c>
      <c r="D446" t="str">
        <f>INDEX(Clientes!$B$4:$B$15,MATCH(B446,Clientes!$A$4:$A$15,0))</f>
        <v>Panadería La Espiga</v>
      </c>
      <c r="E446" t="str">
        <f>INDEX(Catalogo_Servicios!$C$4:$C$24,MATCH(C446,Catalogo_Servicios!$A$4:$A$24,0))</f>
        <v>Declaración mensual de IVA (D-104)</v>
      </c>
      <c r="F446" s="14">
        <v>0.75</v>
      </c>
      <c r="G446" s="15">
        <f>Parametros!$B$4</f>
        <v>28681</v>
      </c>
      <c r="H446" s="14">
        <f>INDEX(Clientes!$E$4:$E$15,MATCH(B446,Clientes!$A$4:$A$15,0))</f>
        <v>1</v>
      </c>
      <c r="I446" s="15">
        <f t="shared" si="6"/>
        <v>21511</v>
      </c>
    </row>
    <row r="447" spans="1:9" x14ac:dyDescent="0.3">
      <c r="A447" s="13">
        <v>45839</v>
      </c>
      <c r="B447" t="s">
        <v>38</v>
      </c>
      <c r="C447" t="s">
        <v>67</v>
      </c>
      <c r="D447" t="str">
        <f>INDEX(Clientes!$B$4:$B$15,MATCH(B447,Clientes!$A$4:$A$15,0))</f>
        <v>Panadería La Espiga</v>
      </c>
      <c r="E447" t="str">
        <f>INDEX(Catalogo_Servicios!$C$4:$C$24,MATCH(C447,Catalogo_Servicios!$A$4:$A$24,0))</f>
        <v>Cálculo de planillas y cargas sociales (CCSS/INS)</v>
      </c>
      <c r="F447" s="14">
        <v>7</v>
      </c>
      <c r="G447" s="15">
        <f>Parametros!$B$4</f>
        <v>28681</v>
      </c>
      <c r="H447" s="14">
        <f>INDEX(Clientes!$E$4:$E$15,MATCH(B447,Clientes!$A$4:$A$15,0))</f>
        <v>1</v>
      </c>
      <c r="I447" s="15">
        <f t="shared" si="6"/>
        <v>200767</v>
      </c>
    </row>
    <row r="448" spans="1:9" x14ac:dyDescent="0.3">
      <c r="A448" s="13">
        <v>45870</v>
      </c>
      <c r="B448" t="s">
        <v>29</v>
      </c>
      <c r="C448" t="s">
        <v>64</v>
      </c>
      <c r="D448" t="str">
        <f>INDEX(Clientes!$B$4:$B$15,MATCH(B448,Clientes!$A$4:$A$15,0))</f>
        <v>Distribuidora Los Andes S.A.</v>
      </c>
      <c r="E448" t="str">
        <f>INDEX(Catalogo_Servicios!$C$4:$C$24,MATCH(C448,Catalogo_Servicios!$A$4:$A$24,0))</f>
        <v>Estados financieros mensuales</v>
      </c>
      <c r="F448" s="14">
        <v>3</v>
      </c>
      <c r="G448" s="15">
        <f>Parametros!$B$4</f>
        <v>28681</v>
      </c>
      <c r="H448" s="14">
        <f>INDEX(Clientes!$E$4:$E$15,MATCH(B448,Clientes!$A$4:$A$15,0))</f>
        <v>1</v>
      </c>
      <c r="I448" s="15">
        <f t="shared" si="6"/>
        <v>86043</v>
      </c>
    </row>
    <row r="449" spans="1:9" x14ac:dyDescent="0.3">
      <c r="A449" s="13">
        <v>45870</v>
      </c>
      <c r="B449" t="s">
        <v>29</v>
      </c>
      <c r="C449" t="s">
        <v>65</v>
      </c>
      <c r="D449" t="str">
        <f>INDEX(Clientes!$B$4:$B$15,MATCH(B449,Clientes!$A$4:$A$15,0))</f>
        <v>Distribuidora Los Andes S.A.</v>
      </c>
      <c r="E449" t="str">
        <f>INDEX(Catalogo_Servicios!$C$4:$C$24,MATCH(C449,Catalogo_Servicios!$A$4:$A$24,0))</f>
        <v>Declaración mensual de IVA (D-104)</v>
      </c>
      <c r="F449" s="14">
        <v>0.75</v>
      </c>
      <c r="G449" s="15">
        <f>Parametros!$B$4</f>
        <v>28681</v>
      </c>
      <c r="H449" s="14">
        <f>INDEX(Clientes!$E$4:$E$15,MATCH(B449,Clientes!$A$4:$A$15,0))</f>
        <v>1</v>
      </c>
      <c r="I449" s="15">
        <f t="shared" si="6"/>
        <v>21511</v>
      </c>
    </row>
    <row r="450" spans="1:9" x14ac:dyDescent="0.3">
      <c r="A450" s="13">
        <v>45870</v>
      </c>
      <c r="B450" t="s">
        <v>29</v>
      </c>
      <c r="C450" t="s">
        <v>66</v>
      </c>
      <c r="D450" t="str">
        <f>INDEX(Clientes!$B$4:$B$15,MATCH(B450,Clientes!$A$4:$A$15,0))</f>
        <v>Distribuidora Los Andes S.A.</v>
      </c>
      <c r="E450" t="str">
        <f>INDEX(Catalogo_Servicios!$C$4:$C$24,MATCH(C450,Catalogo_Servicios!$A$4:$A$24,0))</f>
        <v>Declaración mensual de retenciones (D-103)</v>
      </c>
      <c r="F450" s="14">
        <v>0.25</v>
      </c>
      <c r="G450" s="15">
        <f>Parametros!$B$4</f>
        <v>28681</v>
      </c>
      <c r="H450" s="14">
        <f>INDEX(Clientes!$E$4:$E$15,MATCH(B450,Clientes!$A$4:$A$15,0))</f>
        <v>1</v>
      </c>
      <c r="I450" s="15">
        <f t="shared" si="6"/>
        <v>7170</v>
      </c>
    </row>
    <row r="451" spans="1:9" x14ac:dyDescent="0.3">
      <c r="A451" s="13">
        <v>45870</v>
      </c>
      <c r="B451" t="s">
        <v>29</v>
      </c>
      <c r="C451" t="s">
        <v>67</v>
      </c>
      <c r="D451" t="str">
        <f>INDEX(Clientes!$B$4:$B$15,MATCH(B451,Clientes!$A$4:$A$15,0))</f>
        <v>Distribuidora Los Andes S.A.</v>
      </c>
      <c r="E451" t="str">
        <f>INDEX(Catalogo_Servicios!$C$4:$C$24,MATCH(C451,Catalogo_Servicios!$A$4:$A$24,0))</f>
        <v>Cálculo de planillas y cargas sociales (CCSS/INS)</v>
      </c>
      <c r="F451" s="14">
        <v>22.5</v>
      </c>
      <c r="G451" s="15">
        <f>Parametros!$B$4</f>
        <v>28681</v>
      </c>
      <c r="H451" s="14">
        <f>INDEX(Clientes!$E$4:$E$15,MATCH(B451,Clientes!$A$4:$A$15,0))</f>
        <v>1</v>
      </c>
      <c r="I451" s="15">
        <f t="shared" si="6"/>
        <v>645323</v>
      </c>
    </row>
    <row r="452" spans="1:9" x14ac:dyDescent="0.3">
      <c r="A452" s="13">
        <v>45870</v>
      </c>
      <c r="B452" t="s">
        <v>30</v>
      </c>
      <c r="C452" t="s">
        <v>64</v>
      </c>
      <c r="D452" t="str">
        <f>INDEX(Clientes!$B$4:$B$15,MATCH(B452,Clientes!$A$4:$A$15,0))</f>
        <v>Ferretería El Tornillo</v>
      </c>
      <c r="E452" t="str">
        <f>INDEX(Catalogo_Servicios!$C$4:$C$24,MATCH(C452,Catalogo_Servicios!$A$4:$A$24,0))</f>
        <v>Estados financieros mensuales</v>
      </c>
      <c r="F452" s="14">
        <v>3.5</v>
      </c>
      <c r="G452" s="15">
        <f>Parametros!$B$4</f>
        <v>28681</v>
      </c>
      <c r="H452" s="14">
        <f>INDEX(Clientes!$E$4:$E$15,MATCH(B452,Clientes!$A$4:$A$15,0))</f>
        <v>1</v>
      </c>
      <c r="I452" s="15">
        <f t="shared" ref="I452:I515" si="7">ROUND(F452*G452*H452,0)</f>
        <v>100384</v>
      </c>
    </row>
    <row r="453" spans="1:9" x14ac:dyDescent="0.3">
      <c r="A453" s="13">
        <v>45870</v>
      </c>
      <c r="B453" t="s">
        <v>30</v>
      </c>
      <c r="C453" t="s">
        <v>65</v>
      </c>
      <c r="D453" t="str">
        <f>INDEX(Clientes!$B$4:$B$15,MATCH(B453,Clientes!$A$4:$A$15,0))</f>
        <v>Ferretería El Tornillo</v>
      </c>
      <c r="E453" t="str">
        <f>INDEX(Catalogo_Servicios!$C$4:$C$24,MATCH(C453,Catalogo_Servicios!$A$4:$A$24,0))</f>
        <v>Declaración mensual de IVA (D-104)</v>
      </c>
      <c r="F453" s="14">
        <v>0.75</v>
      </c>
      <c r="G453" s="15">
        <f>Parametros!$B$4</f>
        <v>28681</v>
      </c>
      <c r="H453" s="14">
        <f>INDEX(Clientes!$E$4:$E$15,MATCH(B453,Clientes!$A$4:$A$15,0))</f>
        <v>1</v>
      </c>
      <c r="I453" s="15">
        <f t="shared" si="7"/>
        <v>21511</v>
      </c>
    </row>
    <row r="454" spans="1:9" x14ac:dyDescent="0.3">
      <c r="A454" s="13">
        <v>45870</v>
      </c>
      <c r="B454" t="s">
        <v>30</v>
      </c>
      <c r="C454" t="s">
        <v>66</v>
      </c>
      <c r="D454" t="str">
        <f>INDEX(Clientes!$B$4:$B$15,MATCH(B454,Clientes!$A$4:$A$15,0))</f>
        <v>Ferretería El Tornillo</v>
      </c>
      <c r="E454" t="str">
        <f>INDEX(Catalogo_Servicios!$C$4:$C$24,MATCH(C454,Catalogo_Servicios!$A$4:$A$24,0))</f>
        <v>Declaración mensual de retenciones (D-103)</v>
      </c>
      <c r="F454" s="14">
        <v>0.25</v>
      </c>
      <c r="G454" s="15">
        <f>Parametros!$B$4</f>
        <v>28681</v>
      </c>
      <c r="H454" s="14">
        <f>INDEX(Clientes!$E$4:$E$15,MATCH(B454,Clientes!$A$4:$A$15,0))</f>
        <v>1</v>
      </c>
      <c r="I454" s="15">
        <f t="shared" si="7"/>
        <v>7170</v>
      </c>
    </row>
    <row r="455" spans="1:9" x14ac:dyDescent="0.3">
      <c r="A455" s="13">
        <v>45870</v>
      </c>
      <c r="B455" t="s">
        <v>31</v>
      </c>
      <c r="C455" t="s">
        <v>65</v>
      </c>
      <c r="D455" t="str">
        <f>INDEX(Clientes!$B$4:$B$15,MATCH(B455,Clientes!$A$4:$A$15,0))</f>
        <v>Clínica Dental Sonrisa</v>
      </c>
      <c r="E455" t="str">
        <f>INDEX(Catalogo_Servicios!$C$4:$C$24,MATCH(C455,Catalogo_Servicios!$A$4:$A$24,0))</f>
        <v>Declaración mensual de IVA (D-104)</v>
      </c>
      <c r="F455" s="14">
        <v>0.75</v>
      </c>
      <c r="G455" s="15">
        <f>Parametros!$B$4</f>
        <v>28681</v>
      </c>
      <c r="H455" s="14">
        <f>INDEX(Clientes!$E$4:$E$15,MATCH(B455,Clientes!$A$4:$A$15,0))</f>
        <v>1.1000000000000001</v>
      </c>
      <c r="I455" s="15">
        <f t="shared" si="7"/>
        <v>23662</v>
      </c>
    </row>
    <row r="456" spans="1:9" x14ac:dyDescent="0.3">
      <c r="A456" s="13">
        <v>45870</v>
      </c>
      <c r="B456" t="s">
        <v>32</v>
      </c>
      <c r="C456" t="s">
        <v>65</v>
      </c>
      <c r="D456" t="str">
        <f>INDEX(Clientes!$B$4:$B$15,MATCH(B456,Clientes!$A$4:$A$15,0))</f>
        <v>Soda y Restaurante Doña Lela</v>
      </c>
      <c r="E456" t="str">
        <f>INDEX(Catalogo_Servicios!$C$4:$C$24,MATCH(C456,Catalogo_Servicios!$A$4:$A$24,0))</f>
        <v>Declaración mensual de IVA (D-104)</v>
      </c>
      <c r="F456" s="14">
        <v>0.75</v>
      </c>
      <c r="G456" s="15">
        <f>Parametros!$B$4</f>
        <v>28681</v>
      </c>
      <c r="H456" s="14">
        <f>INDEX(Clientes!$E$4:$E$15,MATCH(B456,Clientes!$A$4:$A$15,0))</f>
        <v>1</v>
      </c>
      <c r="I456" s="15">
        <f t="shared" si="7"/>
        <v>21511</v>
      </c>
    </row>
    <row r="457" spans="1:9" x14ac:dyDescent="0.3">
      <c r="A457" s="13">
        <v>45870</v>
      </c>
      <c r="B457" t="s">
        <v>33</v>
      </c>
      <c r="C457" t="s">
        <v>65</v>
      </c>
      <c r="D457" t="str">
        <f>INDEX(Clientes!$B$4:$B$15,MATCH(B457,Clientes!$A$4:$A$15,0))</f>
        <v>Transportes Rápidos del Valle</v>
      </c>
      <c r="E457" t="str">
        <f>INDEX(Catalogo_Servicios!$C$4:$C$24,MATCH(C457,Catalogo_Servicios!$A$4:$A$24,0))</f>
        <v>Declaración mensual de IVA (D-104)</v>
      </c>
      <c r="F457" s="14">
        <v>0.75</v>
      </c>
      <c r="G457" s="15">
        <f>Parametros!$B$4</f>
        <v>28681</v>
      </c>
      <c r="H457" s="14">
        <f>INDEX(Clientes!$E$4:$E$15,MATCH(B457,Clientes!$A$4:$A$15,0))</f>
        <v>1</v>
      </c>
      <c r="I457" s="15">
        <f t="shared" si="7"/>
        <v>21511</v>
      </c>
    </row>
    <row r="458" spans="1:9" x14ac:dyDescent="0.3">
      <c r="A458" s="13">
        <v>45870</v>
      </c>
      <c r="B458" t="s">
        <v>33</v>
      </c>
      <c r="C458" t="s">
        <v>66</v>
      </c>
      <c r="D458" t="str">
        <f>INDEX(Clientes!$B$4:$B$15,MATCH(B458,Clientes!$A$4:$A$15,0))</f>
        <v>Transportes Rápidos del Valle</v>
      </c>
      <c r="E458" t="str">
        <f>INDEX(Catalogo_Servicios!$C$4:$C$24,MATCH(C458,Catalogo_Servicios!$A$4:$A$24,0))</f>
        <v>Declaración mensual de retenciones (D-103)</v>
      </c>
      <c r="F458" s="14">
        <v>0.25</v>
      </c>
      <c r="G458" s="15">
        <f>Parametros!$B$4</f>
        <v>28681</v>
      </c>
      <c r="H458" s="14">
        <f>INDEX(Clientes!$E$4:$E$15,MATCH(B458,Clientes!$A$4:$A$15,0))</f>
        <v>1</v>
      </c>
      <c r="I458" s="15">
        <f t="shared" si="7"/>
        <v>7170</v>
      </c>
    </row>
    <row r="459" spans="1:9" x14ac:dyDescent="0.3">
      <c r="A459" s="13">
        <v>45870</v>
      </c>
      <c r="B459" t="s">
        <v>33</v>
      </c>
      <c r="C459" t="s">
        <v>67</v>
      </c>
      <c r="D459" t="str">
        <f>INDEX(Clientes!$B$4:$B$15,MATCH(B459,Clientes!$A$4:$A$15,0))</f>
        <v>Transportes Rápidos del Valle</v>
      </c>
      <c r="E459" t="str">
        <f>INDEX(Catalogo_Servicios!$C$4:$C$24,MATCH(C459,Catalogo_Servicios!$A$4:$A$24,0))</f>
        <v>Cálculo de planillas y cargas sociales (CCSS/INS)</v>
      </c>
      <c r="F459" s="14">
        <v>6</v>
      </c>
      <c r="G459" s="15">
        <f>Parametros!$B$4</f>
        <v>28681</v>
      </c>
      <c r="H459" s="14">
        <f>INDEX(Clientes!$E$4:$E$15,MATCH(B459,Clientes!$A$4:$A$15,0))</f>
        <v>1</v>
      </c>
      <c r="I459" s="15">
        <f t="shared" si="7"/>
        <v>172086</v>
      </c>
    </row>
    <row r="460" spans="1:9" x14ac:dyDescent="0.3">
      <c r="A460" s="13">
        <v>45870</v>
      </c>
      <c r="B460" t="s">
        <v>34</v>
      </c>
      <c r="C460" t="s">
        <v>73</v>
      </c>
      <c r="D460" t="str">
        <f>INDEX(Clientes!$B$4:$B$15,MATCH(B460,Clientes!$A$4:$A$15,0))</f>
        <v>Boutique Luna Nueva</v>
      </c>
      <c r="E460" t="str">
        <f>INDEX(Catalogo_Servicios!$C$4:$C$24,MATCH(C460,Catalogo_Servicios!$A$4:$A$24,0))</f>
        <v>Otros trabajos profesionales no contemplados</v>
      </c>
      <c r="F460" s="14">
        <v>3</v>
      </c>
      <c r="G460" s="15">
        <f>Parametros!$B$4</f>
        <v>28681</v>
      </c>
      <c r="H460" s="14">
        <f>INDEX(Clientes!$E$4:$E$15,MATCH(B460,Clientes!$A$4:$A$15,0))</f>
        <v>1.1499999999999999</v>
      </c>
      <c r="I460" s="15">
        <f t="shared" si="7"/>
        <v>98949</v>
      </c>
    </row>
    <row r="461" spans="1:9" x14ac:dyDescent="0.3">
      <c r="A461" s="13">
        <v>45870</v>
      </c>
      <c r="B461" t="s">
        <v>35</v>
      </c>
      <c r="C461" t="s">
        <v>68</v>
      </c>
      <c r="D461" t="str">
        <f>INDEX(Clientes!$B$4:$B$15,MATCH(B461,Clientes!$A$4:$A$15,0))</f>
        <v>Taller Mecánico Hermanos Mora</v>
      </c>
      <c r="E461" t="str">
        <f>INDEX(Catalogo_Servicios!$C$4:$C$24,MATCH(C461,Catalogo_Servicios!$A$4:$A$24,0))</f>
        <v>Asesoría contable, financiera y tributaria</v>
      </c>
      <c r="F461" s="14">
        <v>1</v>
      </c>
      <c r="G461" s="15">
        <f>Parametros!$B$4</f>
        <v>28681</v>
      </c>
      <c r="H461" s="14">
        <f>INDEX(Clientes!$E$4:$E$15,MATCH(B461,Clientes!$A$4:$A$15,0))</f>
        <v>1</v>
      </c>
      <c r="I461" s="15">
        <f t="shared" si="7"/>
        <v>28681</v>
      </c>
    </row>
    <row r="462" spans="1:9" x14ac:dyDescent="0.3">
      <c r="A462" s="13">
        <v>45870</v>
      </c>
      <c r="B462" t="s">
        <v>35</v>
      </c>
      <c r="C462" t="s">
        <v>65</v>
      </c>
      <c r="D462" t="str">
        <f>INDEX(Clientes!$B$4:$B$15,MATCH(B462,Clientes!$A$4:$A$15,0))</f>
        <v>Taller Mecánico Hermanos Mora</v>
      </c>
      <c r="E462" t="str">
        <f>INDEX(Catalogo_Servicios!$C$4:$C$24,MATCH(C462,Catalogo_Servicios!$A$4:$A$24,0))</f>
        <v>Declaración mensual de IVA (D-104)</v>
      </c>
      <c r="F462" s="14">
        <v>1</v>
      </c>
      <c r="G462" s="15">
        <f>Parametros!$B$4</f>
        <v>28681</v>
      </c>
      <c r="H462" s="14">
        <f>INDEX(Clientes!$E$4:$E$15,MATCH(B462,Clientes!$A$4:$A$15,0))</f>
        <v>1</v>
      </c>
      <c r="I462" s="15">
        <f t="shared" si="7"/>
        <v>28681</v>
      </c>
    </row>
    <row r="463" spans="1:9" x14ac:dyDescent="0.3">
      <c r="A463" s="13">
        <v>45870</v>
      </c>
      <c r="B463" t="s">
        <v>36</v>
      </c>
      <c r="C463" t="s">
        <v>65</v>
      </c>
      <c r="D463" t="str">
        <f>INDEX(Clientes!$B$4:$B$15,MATCH(B463,Clientes!$A$4:$A$15,0))</f>
        <v>Agroservicios Cartago</v>
      </c>
      <c r="E463" t="str">
        <f>INDEX(Catalogo_Servicios!$C$4:$C$24,MATCH(C463,Catalogo_Servicios!$A$4:$A$24,0))</f>
        <v>Declaración mensual de IVA (D-104)</v>
      </c>
      <c r="F463" s="14">
        <v>0.75</v>
      </c>
      <c r="G463" s="15">
        <f>Parametros!$B$4</f>
        <v>28681</v>
      </c>
      <c r="H463" s="14">
        <f>INDEX(Clientes!$E$4:$E$15,MATCH(B463,Clientes!$A$4:$A$15,0))</f>
        <v>1</v>
      </c>
      <c r="I463" s="15">
        <f t="shared" si="7"/>
        <v>21511</v>
      </c>
    </row>
    <row r="464" spans="1:9" x14ac:dyDescent="0.3">
      <c r="A464" s="13">
        <v>45870</v>
      </c>
      <c r="B464" t="s">
        <v>36</v>
      </c>
      <c r="C464" t="s">
        <v>66</v>
      </c>
      <c r="D464" t="str">
        <f>INDEX(Clientes!$B$4:$B$15,MATCH(B464,Clientes!$A$4:$A$15,0))</f>
        <v>Agroservicios Cartago</v>
      </c>
      <c r="E464" t="str">
        <f>INDEX(Catalogo_Servicios!$C$4:$C$24,MATCH(C464,Catalogo_Servicios!$A$4:$A$24,0))</f>
        <v>Declaración mensual de retenciones (D-103)</v>
      </c>
      <c r="F464" s="14">
        <v>0.25</v>
      </c>
      <c r="G464" s="15">
        <f>Parametros!$B$4</f>
        <v>28681</v>
      </c>
      <c r="H464" s="14">
        <f>INDEX(Clientes!$E$4:$E$15,MATCH(B464,Clientes!$A$4:$A$15,0))</f>
        <v>1</v>
      </c>
      <c r="I464" s="15">
        <f t="shared" si="7"/>
        <v>7170</v>
      </c>
    </row>
    <row r="465" spans="1:9" x14ac:dyDescent="0.3">
      <c r="A465" s="13">
        <v>45870</v>
      </c>
      <c r="B465" t="s">
        <v>38</v>
      </c>
      <c r="C465" t="s">
        <v>65</v>
      </c>
      <c r="D465" t="str">
        <f>INDEX(Clientes!$B$4:$B$15,MATCH(B465,Clientes!$A$4:$A$15,0))</f>
        <v>Panadería La Espiga</v>
      </c>
      <c r="E465" t="str">
        <f>INDEX(Catalogo_Servicios!$C$4:$C$24,MATCH(C465,Catalogo_Servicios!$A$4:$A$24,0))</f>
        <v>Declaración mensual de IVA (D-104)</v>
      </c>
      <c r="F465" s="14">
        <v>0.75</v>
      </c>
      <c r="G465" s="15">
        <f>Parametros!$B$4</f>
        <v>28681</v>
      </c>
      <c r="H465" s="14">
        <f>INDEX(Clientes!$E$4:$E$15,MATCH(B465,Clientes!$A$4:$A$15,0))</f>
        <v>1</v>
      </c>
      <c r="I465" s="15">
        <f t="shared" si="7"/>
        <v>21511</v>
      </c>
    </row>
    <row r="466" spans="1:9" x14ac:dyDescent="0.3">
      <c r="A466" s="13">
        <v>45870</v>
      </c>
      <c r="B466" t="s">
        <v>38</v>
      </c>
      <c r="C466" t="s">
        <v>67</v>
      </c>
      <c r="D466" t="str">
        <f>INDEX(Clientes!$B$4:$B$15,MATCH(B466,Clientes!$A$4:$A$15,0))</f>
        <v>Panadería La Espiga</v>
      </c>
      <c r="E466" t="str">
        <f>INDEX(Catalogo_Servicios!$C$4:$C$24,MATCH(C466,Catalogo_Servicios!$A$4:$A$24,0))</f>
        <v>Cálculo de planillas y cargas sociales (CCSS/INS)</v>
      </c>
      <c r="F466" s="14">
        <v>7</v>
      </c>
      <c r="G466" s="15">
        <f>Parametros!$B$4</f>
        <v>28681</v>
      </c>
      <c r="H466" s="14">
        <f>INDEX(Clientes!$E$4:$E$15,MATCH(B466,Clientes!$A$4:$A$15,0))</f>
        <v>1</v>
      </c>
      <c r="I466" s="15">
        <f t="shared" si="7"/>
        <v>200767</v>
      </c>
    </row>
    <row r="467" spans="1:9" x14ac:dyDescent="0.3">
      <c r="A467" s="13">
        <v>45901</v>
      </c>
      <c r="B467" t="s">
        <v>29</v>
      </c>
      <c r="C467" t="s">
        <v>64</v>
      </c>
      <c r="D467" t="str">
        <f>INDEX(Clientes!$B$4:$B$15,MATCH(B467,Clientes!$A$4:$A$15,0))</f>
        <v>Distribuidora Los Andes S.A.</v>
      </c>
      <c r="E467" t="str">
        <f>INDEX(Catalogo_Servicios!$C$4:$C$24,MATCH(C467,Catalogo_Servicios!$A$4:$A$24,0))</f>
        <v>Estados financieros mensuales</v>
      </c>
      <c r="F467" s="14">
        <v>3</v>
      </c>
      <c r="G467" s="15">
        <f>Parametros!$B$4</f>
        <v>28681</v>
      </c>
      <c r="H467" s="14">
        <f>INDEX(Clientes!$E$4:$E$15,MATCH(B467,Clientes!$A$4:$A$15,0))</f>
        <v>1</v>
      </c>
      <c r="I467" s="15">
        <f t="shared" si="7"/>
        <v>86043</v>
      </c>
    </row>
    <row r="468" spans="1:9" x14ac:dyDescent="0.3">
      <c r="A468" s="13">
        <v>45901</v>
      </c>
      <c r="B468" t="s">
        <v>29</v>
      </c>
      <c r="C468" t="s">
        <v>65</v>
      </c>
      <c r="D468" t="str">
        <f>INDEX(Clientes!$B$4:$B$15,MATCH(B468,Clientes!$A$4:$A$15,0))</f>
        <v>Distribuidora Los Andes S.A.</v>
      </c>
      <c r="E468" t="str">
        <f>INDEX(Catalogo_Servicios!$C$4:$C$24,MATCH(C468,Catalogo_Servicios!$A$4:$A$24,0))</f>
        <v>Declaración mensual de IVA (D-104)</v>
      </c>
      <c r="F468" s="14">
        <v>0.75</v>
      </c>
      <c r="G468" s="15">
        <f>Parametros!$B$4</f>
        <v>28681</v>
      </c>
      <c r="H468" s="14">
        <f>INDEX(Clientes!$E$4:$E$15,MATCH(B468,Clientes!$A$4:$A$15,0))</f>
        <v>1</v>
      </c>
      <c r="I468" s="15">
        <f t="shared" si="7"/>
        <v>21511</v>
      </c>
    </row>
    <row r="469" spans="1:9" x14ac:dyDescent="0.3">
      <c r="A469" s="13">
        <v>45901</v>
      </c>
      <c r="B469" t="s">
        <v>29</v>
      </c>
      <c r="C469" t="s">
        <v>66</v>
      </c>
      <c r="D469" t="str">
        <f>INDEX(Clientes!$B$4:$B$15,MATCH(B469,Clientes!$A$4:$A$15,0))</f>
        <v>Distribuidora Los Andes S.A.</v>
      </c>
      <c r="E469" t="str">
        <f>INDEX(Catalogo_Servicios!$C$4:$C$24,MATCH(C469,Catalogo_Servicios!$A$4:$A$24,0))</f>
        <v>Declaración mensual de retenciones (D-103)</v>
      </c>
      <c r="F469" s="14">
        <v>0.25</v>
      </c>
      <c r="G469" s="15">
        <f>Parametros!$B$4</f>
        <v>28681</v>
      </c>
      <c r="H469" s="14">
        <f>INDEX(Clientes!$E$4:$E$15,MATCH(B469,Clientes!$A$4:$A$15,0))</f>
        <v>1</v>
      </c>
      <c r="I469" s="15">
        <f t="shared" si="7"/>
        <v>7170</v>
      </c>
    </row>
    <row r="470" spans="1:9" x14ac:dyDescent="0.3">
      <c r="A470" s="13">
        <v>45901</v>
      </c>
      <c r="B470" t="s">
        <v>29</v>
      </c>
      <c r="C470" t="s">
        <v>67</v>
      </c>
      <c r="D470" t="str">
        <f>INDEX(Clientes!$B$4:$B$15,MATCH(B470,Clientes!$A$4:$A$15,0))</f>
        <v>Distribuidora Los Andes S.A.</v>
      </c>
      <c r="E470" t="str">
        <f>INDEX(Catalogo_Servicios!$C$4:$C$24,MATCH(C470,Catalogo_Servicios!$A$4:$A$24,0))</f>
        <v>Cálculo de planillas y cargas sociales (CCSS/INS)</v>
      </c>
      <c r="F470" s="14">
        <v>21</v>
      </c>
      <c r="G470" s="15">
        <f>Parametros!$B$4</f>
        <v>28681</v>
      </c>
      <c r="H470" s="14">
        <f>INDEX(Clientes!$E$4:$E$15,MATCH(B470,Clientes!$A$4:$A$15,0))</f>
        <v>1</v>
      </c>
      <c r="I470" s="15">
        <f t="shared" si="7"/>
        <v>602301</v>
      </c>
    </row>
    <row r="471" spans="1:9" x14ac:dyDescent="0.3">
      <c r="A471" s="13">
        <v>45901</v>
      </c>
      <c r="B471" t="s">
        <v>30</v>
      </c>
      <c r="C471" t="s">
        <v>64</v>
      </c>
      <c r="D471" t="str">
        <f>INDEX(Clientes!$B$4:$B$15,MATCH(B471,Clientes!$A$4:$A$15,0))</f>
        <v>Ferretería El Tornillo</v>
      </c>
      <c r="E471" t="str">
        <f>INDEX(Catalogo_Servicios!$C$4:$C$24,MATCH(C471,Catalogo_Servicios!$A$4:$A$24,0))</f>
        <v>Estados financieros mensuales</v>
      </c>
      <c r="F471" s="14">
        <v>3</v>
      </c>
      <c r="G471" s="15">
        <f>Parametros!$B$4</f>
        <v>28681</v>
      </c>
      <c r="H471" s="14">
        <f>INDEX(Clientes!$E$4:$E$15,MATCH(B471,Clientes!$A$4:$A$15,0))</f>
        <v>1</v>
      </c>
      <c r="I471" s="15">
        <f t="shared" si="7"/>
        <v>86043</v>
      </c>
    </row>
    <row r="472" spans="1:9" x14ac:dyDescent="0.3">
      <c r="A472" s="13">
        <v>45901</v>
      </c>
      <c r="B472" t="s">
        <v>30</v>
      </c>
      <c r="C472" t="s">
        <v>65</v>
      </c>
      <c r="D472" t="str">
        <f>INDEX(Clientes!$B$4:$B$15,MATCH(B472,Clientes!$A$4:$A$15,0))</f>
        <v>Ferretería El Tornillo</v>
      </c>
      <c r="E472" t="str">
        <f>INDEX(Catalogo_Servicios!$C$4:$C$24,MATCH(C472,Catalogo_Servicios!$A$4:$A$24,0))</f>
        <v>Declaración mensual de IVA (D-104)</v>
      </c>
      <c r="F472" s="14">
        <v>0.75</v>
      </c>
      <c r="G472" s="15">
        <f>Parametros!$B$4</f>
        <v>28681</v>
      </c>
      <c r="H472" s="14">
        <f>INDEX(Clientes!$E$4:$E$15,MATCH(B472,Clientes!$A$4:$A$15,0))</f>
        <v>1</v>
      </c>
      <c r="I472" s="15">
        <f t="shared" si="7"/>
        <v>21511</v>
      </c>
    </row>
    <row r="473" spans="1:9" x14ac:dyDescent="0.3">
      <c r="A473" s="13">
        <v>45901</v>
      </c>
      <c r="B473" t="s">
        <v>30</v>
      </c>
      <c r="C473" t="s">
        <v>66</v>
      </c>
      <c r="D473" t="str">
        <f>INDEX(Clientes!$B$4:$B$15,MATCH(B473,Clientes!$A$4:$A$15,0))</f>
        <v>Ferretería El Tornillo</v>
      </c>
      <c r="E473" t="str">
        <f>INDEX(Catalogo_Servicios!$C$4:$C$24,MATCH(C473,Catalogo_Servicios!$A$4:$A$24,0))</f>
        <v>Declaración mensual de retenciones (D-103)</v>
      </c>
      <c r="F473" s="14">
        <v>0.25</v>
      </c>
      <c r="G473" s="15">
        <f>Parametros!$B$4</f>
        <v>28681</v>
      </c>
      <c r="H473" s="14">
        <f>INDEX(Clientes!$E$4:$E$15,MATCH(B473,Clientes!$A$4:$A$15,0))</f>
        <v>1</v>
      </c>
      <c r="I473" s="15">
        <f t="shared" si="7"/>
        <v>7170</v>
      </c>
    </row>
    <row r="474" spans="1:9" x14ac:dyDescent="0.3">
      <c r="A474" s="13">
        <v>45901</v>
      </c>
      <c r="B474" t="s">
        <v>31</v>
      </c>
      <c r="C474" t="s">
        <v>65</v>
      </c>
      <c r="D474" t="str">
        <f>INDEX(Clientes!$B$4:$B$15,MATCH(B474,Clientes!$A$4:$A$15,0))</f>
        <v>Clínica Dental Sonrisa</v>
      </c>
      <c r="E474" t="str">
        <f>INDEX(Catalogo_Servicios!$C$4:$C$24,MATCH(C474,Catalogo_Servicios!$A$4:$A$24,0))</f>
        <v>Declaración mensual de IVA (D-104)</v>
      </c>
      <c r="F474" s="14">
        <v>1</v>
      </c>
      <c r="G474" s="15">
        <f>Parametros!$B$4</f>
        <v>28681</v>
      </c>
      <c r="H474" s="14">
        <f>INDEX(Clientes!$E$4:$E$15,MATCH(B474,Clientes!$A$4:$A$15,0))</f>
        <v>1.1000000000000001</v>
      </c>
      <c r="I474" s="15">
        <f t="shared" si="7"/>
        <v>31549</v>
      </c>
    </row>
    <row r="475" spans="1:9" x14ac:dyDescent="0.3">
      <c r="A475" s="13">
        <v>45901</v>
      </c>
      <c r="B475" t="s">
        <v>32</v>
      </c>
      <c r="C475" t="s">
        <v>65</v>
      </c>
      <c r="D475" t="str">
        <f>INDEX(Clientes!$B$4:$B$15,MATCH(B475,Clientes!$A$4:$A$15,0))</f>
        <v>Soda y Restaurante Doña Lela</v>
      </c>
      <c r="E475" t="str">
        <f>INDEX(Catalogo_Servicios!$C$4:$C$24,MATCH(C475,Catalogo_Servicios!$A$4:$A$24,0))</f>
        <v>Declaración mensual de IVA (D-104)</v>
      </c>
      <c r="F475" s="14">
        <v>0.75</v>
      </c>
      <c r="G475" s="15">
        <f>Parametros!$B$4</f>
        <v>28681</v>
      </c>
      <c r="H475" s="14">
        <f>INDEX(Clientes!$E$4:$E$15,MATCH(B475,Clientes!$A$4:$A$15,0))</f>
        <v>1</v>
      </c>
      <c r="I475" s="15">
        <f t="shared" si="7"/>
        <v>21511</v>
      </c>
    </row>
    <row r="476" spans="1:9" x14ac:dyDescent="0.3">
      <c r="A476" s="13">
        <v>45901</v>
      </c>
      <c r="B476" t="s">
        <v>33</v>
      </c>
      <c r="C476" t="s">
        <v>65</v>
      </c>
      <c r="D476" t="str">
        <f>INDEX(Clientes!$B$4:$B$15,MATCH(B476,Clientes!$A$4:$A$15,0))</f>
        <v>Transportes Rápidos del Valle</v>
      </c>
      <c r="E476" t="str">
        <f>INDEX(Catalogo_Servicios!$C$4:$C$24,MATCH(C476,Catalogo_Servicios!$A$4:$A$24,0))</f>
        <v>Declaración mensual de IVA (D-104)</v>
      </c>
      <c r="F476" s="14">
        <v>1</v>
      </c>
      <c r="G476" s="15">
        <f>Parametros!$B$4</f>
        <v>28681</v>
      </c>
      <c r="H476" s="14">
        <f>INDEX(Clientes!$E$4:$E$15,MATCH(B476,Clientes!$A$4:$A$15,0))</f>
        <v>1</v>
      </c>
      <c r="I476" s="15">
        <f t="shared" si="7"/>
        <v>28681</v>
      </c>
    </row>
    <row r="477" spans="1:9" x14ac:dyDescent="0.3">
      <c r="A477" s="13">
        <v>45901</v>
      </c>
      <c r="B477" t="s">
        <v>33</v>
      </c>
      <c r="C477" t="s">
        <v>66</v>
      </c>
      <c r="D477" t="str">
        <f>INDEX(Clientes!$B$4:$B$15,MATCH(B477,Clientes!$A$4:$A$15,0))</f>
        <v>Transportes Rápidos del Valle</v>
      </c>
      <c r="E477" t="str">
        <f>INDEX(Catalogo_Servicios!$C$4:$C$24,MATCH(C477,Catalogo_Servicios!$A$4:$A$24,0))</f>
        <v>Declaración mensual de retenciones (D-103)</v>
      </c>
      <c r="F477" s="14">
        <v>0.25</v>
      </c>
      <c r="G477" s="15">
        <f>Parametros!$B$4</f>
        <v>28681</v>
      </c>
      <c r="H477" s="14">
        <f>INDEX(Clientes!$E$4:$E$15,MATCH(B477,Clientes!$A$4:$A$15,0))</f>
        <v>1</v>
      </c>
      <c r="I477" s="15">
        <f t="shared" si="7"/>
        <v>7170</v>
      </c>
    </row>
    <row r="478" spans="1:9" x14ac:dyDescent="0.3">
      <c r="A478" s="13">
        <v>45901</v>
      </c>
      <c r="B478" t="s">
        <v>33</v>
      </c>
      <c r="C478" t="s">
        <v>67</v>
      </c>
      <c r="D478" t="str">
        <f>INDEX(Clientes!$B$4:$B$15,MATCH(B478,Clientes!$A$4:$A$15,0))</f>
        <v>Transportes Rápidos del Valle</v>
      </c>
      <c r="E478" t="str">
        <f>INDEX(Catalogo_Servicios!$C$4:$C$24,MATCH(C478,Catalogo_Servicios!$A$4:$A$24,0))</f>
        <v>Cálculo de planillas y cargas sociales (CCSS/INS)</v>
      </c>
      <c r="F478" s="14">
        <v>6.5</v>
      </c>
      <c r="G478" s="15">
        <f>Parametros!$B$4</f>
        <v>28681</v>
      </c>
      <c r="H478" s="14">
        <f>INDEX(Clientes!$E$4:$E$15,MATCH(B478,Clientes!$A$4:$A$15,0))</f>
        <v>1</v>
      </c>
      <c r="I478" s="15">
        <f t="shared" si="7"/>
        <v>186427</v>
      </c>
    </row>
    <row r="479" spans="1:9" x14ac:dyDescent="0.3">
      <c r="A479" s="13">
        <v>45901</v>
      </c>
      <c r="B479" t="s">
        <v>35</v>
      </c>
      <c r="C479" t="s">
        <v>68</v>
      </c>
      <c r="D479" t="str">
        <f>INDEX(Clientes!$B$4:$B$15,MATCH(B479,Clientes!$A$4:$A$15,0))</f>
        <v>Taller Mecánico Hermanos Mora</v>
      </c>
      <c r="E479" t="str">
        <f>INDEX(Catalogo_Servicios!$C$4:$C$24,MATCH(C479,Catalogo_Servicios!$A$4:$A$24,0))</f>
        <v>Asesoría contable, financiera y tributaria</v>
      </c>
      <c r="F479" s="14">
        <v>2</v>
      </c>
      <c r="G479" s="15">
        <f>Parametros!$B$4</f>
        <v>28681</v>
      </c>
      <c r="H479" s="14">
        <f>INDEX(Clientes!$E$4:$E$15,MATCH(B479,Clientes!$A$4:$A$15,0))</f>
        <v>1</v>
      </c>
      <c r="I479" s="15">
        <f t="shared" si="7"/>
        <v>57362</v>
      </c>
    </row>
    <row r="480" spans="1:9" x14ac:dyDescent="0.3">
      <c r="A480" s="13">
        <v>45901</v>
      </c>
      <c r="B480" t="s">
        <v>35</v>
      </c>
      <c r="C480" t="s">
        <v>65</v>
      </c>
      <c r="D480" t="str">
        <f>INDEX(Clientes!$B$4:$B$15,MATCH(B480,Clientes!$A$4:$A$15,0))</f>
        <v>Taller Mecánico Hermanos Mora</v>
      </c>
      <c r="E480" t="str">
        <f>INDEX(Catalogo_Servicios!$C$4:$C$24,MATCH(C480,Catalogo_Servicios!$A$4:$A$24,0))</f>
        <v>Declaración mensual de IVA (D-104)</v>
      </c>
      <c r="F480" s="14">
        <v>0.75</v>
      </c>
      <c r="G480" s="15">
        <f>Parametros!$B$4</f>
        <v>28681</v>
      </c>
      <c r="H480" s="14">
        <f>INDEX(Clientes!$E$4:$E$15,MATCH(B480,Clientes!$A$4:$A$15,0))</f>
        <v>1</v>
      </c>
      <c r="I480" s="15">
        <f t="shared" si="7"/>
        <v>21511</v>
      </c>
    </row>
    <row r="481" spans="1:9" x14ac:dyDescent="0.3">
      <c r="A481" s="13">
        <v>45901</v>
      </c>
      <c r="B481" t="s">
        <v>36</v>
      </c>
      <c r="C481" t="s">
        <v>65</v>
      </c>
      <c r="D481" t="str">
        <f>INDEX(Clientes!$B$4:$B$15,MATCH(B481,Clientes!$A$4:$A$15,0))</f>
        <v>Agroservicios Cartago</v>
      </c>
      <c r="E481" t="str">
        <f>INDEX(Catalogo_Servicios!$C$4:$C$24,MATCH(C481,Catalogo_Servicios!$A$4:$A$24,0))</f>
        <v>Declaración mensual de IVA (D-104)</v>
      </c>
      <c r="F481" s="14">
        <v>1</v>
      </c>
      <c r="G481" s="15">
        <f>Parametros!$B$4</f>
        <v>28681</v>
      </c>
      <c r="H481" s="14">
        <f>INDEX(Clientes!$E$4:$E$15,MATCH(B481,Clientes!$A$4:$A$15,0))</f>
        <v>1</v>
      </c>
      <c r="I481" s="15">
        <f t="shared" si="7"/>
        <v>28681</v>
      </c>
    </row>
    <row r="482" spans="1:9" x14ac:dyDescent="0.3">
      <c r="A482" s="13">
        <v>45901</v>
      </c>
      <c r="B482" t="s">
        <v>36</v>
      </c>
      <c r="C482" t="s">
        <v>66</v>
      </c>
      <c r="D482" t="str">
        <f>INDEX(Clientes!$B$4:$B$15,MATCH(B482,Clientes!$A$4:$A$15,0))</f>
        <v>Agroservicios Cartago</v>
      </c>
      <c r="E482" t="str">
        <f>INDEX(Catalogo_Servicios!$C$4:$C$24,MATCH(C482,Catalogo_Servicios!$A$4:$A$24,0))</f>
        <v>Declaración mensual de retenciones (D-103)</v>
      </c>
      <c r="F482" s="14">
        <v>0.25</v>
      </c>
      <c r="G482" s="15">
        <f>Parametros!$B$4</f>
        <v>28681</v>
      </c>
      <c r="H482" s="14">
        <f>INDEX(Clientes!$E$4:$E$15,MATCH(B482,Clientes!$A$4:$A$15,0))</f>
        <v>1</v>
      </c>
      <c r="I482" s="15">
        <f t="shared" si="7"/>
        <v>7170</v>
      </c>
    </row>
    <row r="483" spans="1:9" x14ac:dyDescent="0.3">
      <c r="A483" s="13">
        <v>45901</v>
      </c>
      <c r="B483" t="s">
        <v>38</v>
      </c>
      <c r="C483" t="s">
        <v>65</v>
      </c>
      <c r="D483" t="str">
        <f>INDEX(Clientes!$B$4:$B$15,MATCH(B483,Clientes!$A$4:$A$15,0))</f>
        <v>Panadería La Espiga</v>
      </c>
      <c r="E483" t="str">
        <f>INDEX(Catalogo_Servicios!$C$4:$C$24,MATCH(C483,Catalogo_Servicios!$A$4:$A$24,0))</f>
        <v>Declaración mensual de IVA (D-104)</v>
      </c>
      <c r="F483" s="14">
        <v>0.75</v>
      </c>
      <c r="G483" s="15">
        <f>Parametros!$B$4</f>
        <v>28681</v>
      </c>
      <c r="H483" s="14">
        <f>INDEX(Clientes!$E$4:$E$15,MATCH(B483,Clientes!$A$4:$A$15,0))</f>
        <v>1</v>
      </c>
      <c r="I483" s="15">
        <f t="shared" si="7"/>
        <v>21511</v>
      </c>
    </row>
    <row r="484" spans="1:9" x14ac:dyDescent="0.3">
      <c r="A484" s="13">
        <v>45901</v>
      </c>
      <c r="B484" t="s">
        <v>38</v>
      </c>
      <c r="C484" t="s">
        <v>67</v>
      </c>
      <c r="D484" t="str">
        <f>INDEX(Clientes!$B$4:$B$15,MATCH(B484,Clientes!$A$4:$A$15,0))</f>
        <v>Panadería La Espiga</v>
      </c>
      <c r="E484" t="str">
        <f>INDEX(Catalogo_Servicios!$C$4:$C$24,MATCH(C484,Catalogo_Servicios!$A$4:$A$24,0))</f>
        <v>Cálculo de planillas y cargas sociales (CCSS/INS)</v>
      </c>
      <c r="F484" s="14">
        <v>7</v>
      </c>
      <c r="G484" s="15">
        <f>Parametros!$B$4</f>
        <v>28681</v>
      </c>
      <c r="H484" s="14">
        <f>INDEX(Clientes!$E$4:$E$15,MATCH(B484,Clientes!$A$4:$A$15,0))</f>
        <v>1</v>
      </c>
      <c r="I484" s="15">
        <f t="shared" si="7"/>
        <v>200767</v>
      </c>
    </row>
    <row r="485" spans="1:9" x14ac:dyDescent="0.3">
      <c r="A485" s="13">
        <v>45931</v>
      </c>
      <c r="B485" t="s">
        <v>29</v>
      </c>
      <c r="C485" t="s">
        <v>64</v>
      </c>
      <c r="D485" t="str">
        <f>INDEX(Clientes!$B$4:$B$15,MATCH(B485,Clientes!$A$4:$A$15,0))</f>
        <v>Distribuidora Los Andes S.A.</v>
      </c>
      <c r="E485" t="str">
        <f>INDEX(Catalogo_Servicios!$C$4:$C$24,MATCH(C485,Catalogo_Servicios!$A$4:$A$24,0))</f>
        <v>Estados financieros mensuales</v>
      </c>
      <c r="F485" s="14">
        <v>3</v>
      </c>
      <c r="G485" s="15">
        <f>Parametros!$B$4</f>
        <v>28681</v>
      </c>
      <c r="H485" s="14">
        <f>INDEX(Clientes!$E$4:$E$15,MATCH(B485,Clientes!$A$4:$A$15,0))</f>
        <v>1</v>
      </c>
      <c r="I485" s="15">
        <f t="shared" si="7"/>
        <v>86043</v>
      </c>
    </row>
    <row r="486" spans="1:9" x14ac:dyDescent="0.3">
      <c r="A486" s="13">
        <v>45931</v>
      </c>
      <c r="B486" t="s">
        <v>29</v>
      </c>
      <c r="C486" t="s">
        <v>65</v>
      </c>
      <c r="D486" t="str">
        <f>INDEX(Clientes!$B$4:$B$15,MATCH(B486,Clientes!$A$4:$A$15,0))</f>
        <v>Distribuidora Los Andes S.A.</v>
      </c>
      <c r="E486" t="str">
        <f>INDEX(Catalogo_Servicios!$C$4:$C$24,MATCH(C486,Catalogo_Servicios!$A$4:$A$24,0))</f>
        <v>Declaración mensual de IVA (D-104)</v>
      </c>
      <c r="F486" s="14">
        <v>0.75</v>
      </c>
      <c r="G486" s="15">
        <f>Parametros!$B$4</f>
        <v>28681</v>
      </c>
      <c r="H486" s="14">
        <f>INDEX(Clientes!$E$4:$E$15,MATCH(B486,Clientes!$A$4:$A$15,0))</f>
        <v>1</v>
      </c>
      <c r="I486" s="15">
        <f t="shared" si="7"/>
        <v>21511</v>
      </c>
    </row>
    <row r="487" spans="1:9" x14ac:dyDescent="0.3">
      <c r="A487" s="13">
        <v>45931</v>
      </c>
      <c r="B487" t="s">
        <v>29</v>
      </c>
      <c r="C487" t="s">
        <v>66</v>
      </c>
      <c r="D487" t="str">
        <f>INDEX(Clientes!$B$4:$B$15,MATCH(B487,Clientes!$A$4:$A$15,0))</f>
        <v>Distribuidora Los Andes S.A.</v>
      </c>
      <c r="E487" t="str">
        <f>INDEX(Catalogo_Servicios!$C$4:$C$24,MATCH(C487,Catalogo_Servicios!$A$4:$A$24,0))</f>
        <v>Declaración mensual de retenciones (D-103)</v>
      </c>
      <c r="F487" s="14">
        <v>0.25</v>
      </c>
      <c r="G487" s="15">
        <f>Parametros!$B$4</f>
        <v>28681</v>
      </c>
      <c r="H487" s="14">
        <f>INDEX(Clientes!$E$4:$E$15,MATCH(B487,Clientes!$A$4:$A$15,0))</f>
        <v>1</v>
      </c>
      <c r="I487" s="15">
        <f t="shared" si="7"/>
        <v>7170</v>
      </c>
    </row>
    <row r="488" spans="1:9" x14ac:dyDescent="0.3">
      <c r="A488" s="13">
        <v>45931</v>
      </c>
      <c r="B488" t="s">
        <v>29</v>
      </c>
      <c r="C488" t="s">
        <v>67</v>
      </c>
      <c r="D488" t="str">
        <f>INDEX(Clientes!$B$4:$B$15,MATCH(B488,Clientes!$A$4:$A$15,0))</f>
        <v>Distribuidora Los Andes S.A.</v>
      </c>
      <c r="E488" t="str">
        <f>INDEX(Catalogo_Servicios!$C$4:$C$24,MATCH(C488,Catalogo_Servicios!$A$4:$A$24,0))</f>
        <v>Cálculo de planillas y cargas sociales (CCSS/INS)</v>
      </c>
      <c r="F488" s="14">
        <v>21</v>
      </c>
      <c r="G488" s="15">
        <f>Parametros!$B$4</f>
        <v>28681</v>
      </c>
      <c r="H488" s="14">
        <f>INDEX(Clientes!$E$4:$E$15,MATCH(B488,Clientes!$A$4:$A$15,0))</f>
        <v>1</v>
      </c>
      <c r="I488" s="15">
        <f t="shared" si="7"/>
        <v>602301</v>
      </c>
    </row>
    <row r="489" spans="1:9" x14ac:dyDescent="0.3">
      <c r="A489" s="13">
        <v>45931</v>
      </c>
      <c r="B489" t="s">
        <v>30</v>
      </c>
      <c r="C489" t="s">
        <v>64</v>
      </c>
      <c r="D489" t="str">
        <f>INDEX(Clientes!$B$4:$B$15,MATCH(B489,Clientes!$A$4:$A$15,0))</f>
        <v>Ferretería El Tornillo</v>
      </c>
      <c r="E489" t="str">
        <f>INDEX(Catalogo_Servicios!$C$4:$C$24,MATCH(C489,Catalogo_Servicios!$A$4:$A$24,0))</f>
        <v>Estados financieros mensuales</v>
      </c>
      <c r="F489" s="14">
        <v>3.25</v>
      </c>
      <c r="G489" s="15">
        <f>Parametros!$B$4</f>
        <v>28681</v>
      </c>
      <c r="H489" s="14">
        <f>INDEX(Clientes!$E$4:$E$15,MATCH(B489,Clientes!$A$4:$A$15,0))</f>
        <v>1</v>
      </c>
      <c r="I489" s="15">
        <f t="shared" si="7"/>
        <v>93213</v>
      </c>
    </row>
    <row r="490" spans="1:9" x14ac:dyDescent="0.3">
      <c r="A490" s="13">
        <v>45931</v>
      </c>
      <c r="B490" t="s">
        <v>30</v>
      </c>
      <c r="C490" t="s">
        <v>65</v>
      </c>
      <c r="D490" t="str">
        <f>INDEX(Clientes!$B$4:$B$15,MATCH(B490,Clientes!$A$4:$A$15,0))</f>
        <v>Ferretería El Tornillo</v>
      </c>
      <c r="E490" t="str">
        <f>INDEX(Catalogo_Servicios!$C$4:$C$24,MATCH(C490,Catalogo_Servicios!$A$4:$A$24,0))</f>
        <v>Declaración mensual de IVA (D-104)</v>
      </c>
      <c r="F490" s="14">
        <v>0.75</v>
      </c>
      <c r="G490" s="15">
        <f>Parametros!$B$4</f>
        <v>28681</v>
      </c>
      <c r="H490" s="14">
        <f>INDEX(Clientes!$E$4:$E$15,MATCH(B490,Clientes!$A$4:$A$15,0))</f>
        <v>1</v>
      </c>
      <c r="I490" s="15">
        <f t="shared" si="7"/>
        <v>21511</v>
      </c>
    </row>
    <row r="491" spans="1:9" x14ac:dyDescent="0.3">
      <c r="A491" s="13">
        <v>45931</v>
      </c>
      <c r="B491" t="s">
        <v>30</v>
      </c>
      <c r="C491" t="s">
        <v>66</v>
      </c>
      <c r="D491" t="str">
        <f>INDEX(Clientes!$B$4:$B$15,MATCH(B491,Clientes!$A$4:$A$15,0))</f>
        <v>Ferretería El Tornillo</v>
      </c>
      <c r="E491" t="str">
        <f>INDEX(Catalogo_Servicios!$C$4:$C$24,MATCH(C491,Catalogo_Servicios!$A$4:$A$24,0))</f>
        <v>Declaración mensual de retenciones (D-103)</v>
      </c>
      <c r="F491" s="14">
        <v>0.25</v>
      </c>
      <c r="G491" s="15">
        <f>Parametros!$B$4</f>
        <v>28681</v>
      </c>
      <c r="H491" s="14">
        <f>INDEX(Clientes!$E$4:$E$15,MATCH(B491,Clientes!$A$4:$A$15,0))</f>
        <v>1</v>
      </c>
      <c r="I491" s="15">
        <f t="shared" si="7"/>
        <v>7170</v>
      </c>
    </row>
    <row r="492" spans="1:9" x14ac:dyDescent="0.3">
      <c r="A492" s="13">
        <v>45931</v>
      </c>
      <c r="B492" t="s">
        <v>31</v>
      </c>
      <c r="C492" t="s">
        <v>65</v>
      </c>
      <c r="D492" t="str">
        <f>INDEX(Clientes!$B$4:$B$15,MATCH(B492,Clientes!$A$4:$A$15,0))</f>
        <v>Clínica Dental Sonrisa</v>
      </c>
      <c r="E492" t="str">
        <f>INDEX(Catalogo_Servicios!$C$4:$C$24,MATCH(C492,Catalogo_Servicios!$A$4:$A$24,0))</f>
        <v>Declaración mensual de IVA (D-104)</v>
      </c>
      <c r="F492" s="14">
        <v>0.75</v>
      </c>
      <c r="G492" s="15">
        <f>Parametros!$B$4</f>
        <v>28681</v>
      </c>
      <c r="H492" s="14">
        <f>INDEX(Clientes!$E$4:$E$15,MATCH(B492,Clientes!$A$4:$A$15,0))</f>
        <v>1.1000000000000001</v>
      </c>
      <c r="I492" s="15">
        <f t="shared" si="7"/>
        <v>23662</v>
      </c>
    </row>
    <row r="493" spans="1:9" x14ac:dyDescent="0.3">
      <c r="A493" s="13">
        <v>45931</v>
      </c>
      <c r="B493" t="s">
        <v>32</v>
      </c>
      <c r="C493" t="s">
        <v>65</v>
      </c>
      <c r="D493" t="str">
        <f>INDEX(Clientes!$B$4:$B$15,MATCH(B493,Clientes!$A$4:$A$15,0))</f>
        <v>Soda y Restaurante Doña Lela</v>
      </c>
      <c r="E493" t="str">
        <f>INDEX(Catalogo_Servicios!$C$4:$C$24,MATCH(C493,Catalogo_Servicios!$A$4:$A$24,0))</f>
        <v>Declaración mensual de IVA (D-104)</v>
      </c>
      <c r="F493" s="14">
        <v>0.75</v>
      </c>
      <c r="G493" s="15">
        <f>Parametros!$B$4</f>
        <v>28681</v>
      </c>
      <c r="H493" s="14">
        <f>INDEX(Clientes!$E$4:$E$15,MATCH(B493,Clientes!$A$4:$A$15,0))</f>
        <v>1</v>
      </c>
      <c r="I493" s="15">
        <f t="shared" si="7"/>
        <v>21511</v>
      </c>
    </row>
    <row r="494" spans="1:9" x14ac:dyDescent="0.3">
      <c r="A494" s="13">
        <v>45931</v>
      </c>
      <c r="B494" t="s">
        <v>33</v>
      </c>
      <c r="C494" t="s">
        <v>65</v>
      </c>
      <c r="D494" t="str">
        <f>INDEX(Clientes!$B$4:$B$15,MATCH(B494,Clientes!$A$4:$A$15,0))</f>
        <v>Transportes Rápidos del Valle</v>
      </c>
      <c r="E494" t="str">
        <f>INDEX(Catalogo_Servicios!$C$4:$C$24,MATCH(C494,Catalogo_Servicios!$A$4:$A$24,0))</f>
        <v>Declaración mensual de IVA (D-104)</v>
      </c>
      <c r="F494" s="14">
        <v>0.75</v>
      </c>
      <c r="G494" s="15">
        <f>Parametros!$B$4</f>
        <v>28681</v>
      </c>
      <c r="H494" s="14">
        <f>INDEX(Clientes!$E$4:$E$15,MATCH(B494,Clientes!$A$4:$A$15,0))</f>
        <v>1</v>
      </c>
      <c r="I494" s="15">
        <f t="shared" si="7"/>
        <v>21511</v>
      </c>
    </row>
    <row r="495" spans="1:9" x14ac:dyDescent="0.3">
      <c r="A495" s="13">
        <v>45931</v>
      </c>
      <c r="B495" t="s">
        <v>33</v>
      </c>
      <c r="C495" t="s">
        <v>66</v>
      </c>
      <c r="D495" t="str">
        <f>INDEX(Clientes!$B$4:$B$15,MATCH(B495,Clientes!$A$4:$A$15,0))</f>
        <v>Transportes Rápidos del Valle</v>
      </c>
      <c r="E495" t="str">
        <f>INDEX(Catalogo_Servicios!$C$4:$C$24,MATCH(C495,Catalogo_Servicios!$A$4:$A$24,0))</f>
        <v>Declaración mensual de retenciones (D-103)</v>
      </c>
      <c r="F495" s="14">
        <v>0.25</v>
      </c>
      <c r="G495" s="15">
        <f>Parametros!$B$4</f>
        <v>28681</v>
      </c>
      <c r="H495" s="14">
        <f>INDEX(Clientes!$E$4:$E$15,MATCH(B495,Clientes!$A$4:$A$15,0))</f>
        <v>1</v>
      </c>
      <c r="I495" s="15">
        <f t="shared" si="7"/>
        <v>7170</v>
      </c>
    </row>
    <row r="496" spans="1:9" x14ac:dyDescent="0.3">
      <c r="A496" s="13">
        <v>45931</v>
      </c>
      <c r="B496" t="s">
        <v>33</v>
      </c>
      <c r="C496" t="s">
        <v>67</v>
      </c>
      <c r="D496" t="str">
        <f>INDEX(Clientes!$B$4:$B$15,MATCH(B496,Clientes!$A$4:$A$15,0))</f>
        <v>Transportes Rápidos del Valle</v>
      </c>
      <c r="E496" t="str">
        <f>INDEX(Catalogo_Servicios!$C$4:$C$24,MATCH(C496,Catalogo_Servicios!$A$4:$A$24,0))</f>
        <v>Cálculo de planillas y cargas sociales (CCSS/INS)</v>
      </c>
      <c r="F496" s="14">
        <v>6.5</v>
      </c>
      <c r="G496" s="15">
        <f>Parametros!$B$4</f>
        <v>28681</v>
      </c>
      <c r="H496" s="14">
        <f>INDEX(Clientes!$E$4:$E$15,MATCH(B496,Clientes!$A$4:$A$15,0))</f>
        <v>1</v>
      </c>
      <c r="I496" s="15">
        <f t="shared" si="7"/>
        <v>186427</v>
      </c>
    </row>
    <row r="497" spans="1:9" x14ac:dyDescent="0.3">
      <c r="A497" s="13">
        <v>45931</v>
      </c>
      <c r="B497" t="s">
        <v>35</v>
      </c>
      <c r="C497" t="s">
        <v>65</v>
      </c>
      <c r="D497" t="str">
        <f>INDEX(Clientes!$B$4:$B$15,MATCH(B497,Clientes!$A$4:$A$15,0))</f>
        <v>Taller Mecánico Hermanos Mora</v>
      </c>
      <c r="E497" t="str">
        <f>INDEX(Catalogo_Servicios!$C$4:$C$24,MATCH(C497,Catalogo_Servicios!$A$4:$A$24,0))</f>
        <v>Declaración mensual de IVA (D-104)</v>
      </c>
      <c r="F497" s="14">
        <v>0.75</v>
      </c>
      <c r="G497" s="15">
        <f>Parametros!$B$4</f>
        <v>28681</v>
      </c>
      <c r="H497" s="14">
        <f>INDEX(Clientes!$E$4:$E$15,MATCH(B497,Clientes!$A$4:$A$15,0))</f>
        <v>1</v>
      </c>
      <c r="I497" s="15">
        <f t="shared" si="7"/>
        <v>21511</v>
      </c>
    </row>
    <row r="498" spans="1:9" x14ac:dyDescent="0.3">
      <c r="A498" s="13">
        <v>45931</v>
      </c>
      <c r="B498" t="s">
        <v>36</v>
      </c>
      <c r="C498" t="s">
        <v>65</v>
      </c>
      <c r="D498" t="str">
        <f>INDEX(Clientes!$B$4:$B$15,MATCH(B498,Clientes!$A$4:$A$15,0))</f>
        <v>Agroservicios Cartago</v>
      </c>
      <c r="E498" t="str">
        <f>INDEX(Catalogo_Servicios!$C$4:$C$24,MATCH(C498,Catalogo_Servicios!$A$4:$A$24,0))</f>
        <v>Declaración mensual de IVA (D-104)</v>
      </c>
      <c r="F498" s="14">
        <v>0.75</v>
      </c>
      <c r="G498" s="15">
        <f>Parametros!$B$4</f>
        <v>28681</v>
      </c>
      <c r="H498" s="14">
        <f>INDEX(Clientes!$E$4:$E$15,MATCH(B498,Clientes!$A$4:$A$15,0))</f>
        <v>1</v>
      </c>
      <c r="I498" s="15">
        <f t="shared" si="7"/>
        <v>21511</v>
      </c>
    </row>
    <row r="499" spans="1:9" x14ac:dyDescent="0.3">
      <c r="A499" s="13">
        <v>45931</v>
      </c>
      <c r="B499" t="s">
        <v>36</v>
      </c>
      <c r="C499" t="s">
        <v>66</v>
      </c>
      <c r="D499" t="str">
        <f>INDEX(Clientes!$B$4:$B$15,MATCH(B499,Clientes!$A$4:$A$15,0))</f>
        <v>Agroservicios Cartago</v>
      </c>
      <c r="E499" t="str">
        <f>INDEX(Catalogo_Servicios!$C$4:$C$24,MATCH(C499,Catalogo_Servicios!$A$4:$A$24,0))</f>
        <v>Declaración mensual de retenciones (D-103)</v>
      </c>
      <c r="F499" s="14">
        <v>0.25</v>
      </c>
      <c r="G499" s="15">
        <f>Parametros!$B$4</f>
        <v>28681</v>
      </c>
      <c r="H499" s="14">
        <f>INDEX(Clientes!$E$4:$E$15,MATCH(B499,Clientes!$A$4:$A$15,0))</f>
        <v>1</v>
      </c>
      <c r="I499" s="15">
        <f t="shared" si="7"/>
        <v>7170</v>
      </c>
    </row>
    <row r="500" spans="1:9" x14ac:dyDescent="0.3">
      <c r="A500" s="13">
        <v>45931</v>
      </c>
      <c r="B500" t="s">
        <v>38</v>
      </c>
      <c r="C500" t="s">
        <v>65</v>
      </c>
      <c r="D500" t="str">
        <f>INDEX(Clientes!$B$4:$B$15,MATCH(B500,Clientes!$A$4:$A$15,0))</f>
        <v>Panadería La Espiga</v>
      </c>
      <c r="E500" t="str">
        <f>INDEX(Catalogo_Servicios!$C$4:$C$24,MATCH(C500,Catalogo_Servicios!$A$4:$A$24,0))</f>
        <v>Declaración mensual de IVA (D-104)</v>
      </c>
      <c r="F500" s="14">
        <v>1</v>
      </c>
      <c r="G500" s="15">
        <f>Parametros!$B$4</f>
        <v>28681</v>
      </c>
      <c r="H500" s="14">
        <f>INDEX(Clientes!$E$4:$E$15,MATCH(B500,Clientes!$A$4:$A$15,0))</f>
        <v>1</v>
      </c>
      <c r="I500" s="15">
        <f t="shared" si="7"/>
        <v>28681</v>
      </c>
    </row>
    <row r="501" spans="1:9" x14ac:dyDescent="0.3">
      <c r="A501" s="13">
        <v>45931</v>
      </c>
      <c r="B501" t="s">
        <v>38</v>
      </c>
      <c r="C501" t="s">
        <v>67</v>
      </c>
      <c r="D501" t="str">
        <f>INDEX(Clientes!$B$4:$B$15,MATCH(B501,Clientes!$A$4:$A$15,0))</f>
        <v>Panadería La Espiga</v>
      </c>
      <c r="E501" t="str">
        <f>INDEX(Catalogo_Servicios!$C$4:$C$24,MATCH(C501,Catalogo_Servicios!$A$4:$A$24,0))</f>
        <v>Cálculo de planillas y cargas sociales (CCSS/INS)</v>
      </c>
      <c r="F501" s="14">
        <v>7.5</v>
      </c>
      <c r="G501" s="15">
        <f>Parametros!$B$4</f>
        <v>28681</v>
      </c>
      <c r="H501" s="14">
        <f>INDEX(Clientes!$E$4:$E$15,MATCH(B501,Clientes!$A$4:$A$15,0))</f>
        <v>1</v>
      </c>
      <c r="I501" s="15">
        <f t="shared" si="7"/>
        <v>215108</v>
      </c>
    </row>
    <row r="502" spans="1:9" x14ac:dyDescent="0.3">
      <c r="A502" s="13">
        <v>45931</v>
      </c>
      <c r="B502" t="s">
        <v>40</v>
      </c>
      <c r="C502" t="s">
        <v>68</v>
      </c>
      <c r="D502" t="str">
        <f>INDEX(Clientes!$B$4:$B$15,MATCH(B502,Clientes!$A$4:$A$15,0))</f>
        <v>Veterinaria Mascotas Felices</v>
      </c>
      <c r="E502" t="str">
        <f>INDEX(Catalogo_Servicios!$C$4:$C$24,MATCH(C502,Catalogo_Servicios!$A$4:$A$24,0))</f>
        <v>Asesoría contable, financiera y tributaria</v>
      </c>
      <c r="F502" s="14">
        <v>1</v>
      </c>
      <c r="G502" s="15">
        <f>Parametros!$B$4</f>
        <v>28681</v>
      </c>
      <c r="H502" s="14">
        <f>INDEX(Clientes!$E$4:$E$15,MATCH(B502,Clientes!$A$4:$A$15,0))</f>
        <v>1.05</v>
      </c>
      <c r="I502" s="15">
        <f t="shared" si="7"/>
        <v>30115</v>
      </c>
    </row>
    <row r="503" spans="1:9" x14ac:dyDescent="0.3">
      <c r="A503" s="13">
        <v>45962</v>
      </c>
      <c r="B503" t="s">
        <v>29</v>
      </c>
      <c r="C503" t="s">
        <v>64</v>
      </c>
      <c r="D503" t="str">
        <f>INDEX(Clientes!$B$4:$B$15,MATCH(B503,Clientes!$A$4:$A$15,0))</f>
        <v>Distribuidora Los Andes S.A.</v>
      </c>
      <c r="E503" t="str">
        <f>INDEX(Catalogo_Servicios!$C$4:$C$24,MATCH(C503,Catalogo_Servicios!$A$4:$A$24,0))</f>
        <v>Estados financieros mensuales</v>
      </c>
      <c r="F503" s="14">
        <v>3</v>
      </c>
      <c r="G503" s="15">
        <f>Parametros!$B$4</f>
        <v>28681</v>
      </c>
      <c r="H503" s="14">
        <f>INDEX(Clientes!$E$4:$E$15,MATCH(B503,Clientes!$A$4:$A$15,0))</f>
        <v>1</v>
      </c>
      <c r="I503" s="15">
        <f t="shared" si="7"/>
        <v>86043</v>
      </c>
    </row>
    <row r="504" spans="1:9" x14ac:dyDescent="0.3">
      <c r="A504" s="13">
        <v>45962</v>
      </c>
      <c r="B504" t="s">
        <v>29</v>
      </c>
      <c r="C504" t="s">
        <v>65</v>
      </c>
      <c r="D504" t="str">
        <f>INDEX(Clientes!$B$4:$B$15,MATCH(B504,Clientes!$A$4:$A$15,0))</f>
        <v>Distribuidora Los Andes S.A.</v>
      </c>
      <c r="E504" t="str">
        <f>INDEX(Catalogo_Servicios!$C$4:$C$24,MATCH(C504,Catalogo_Servicios!$A$4:$A$24,0))</f>
        <v>Declaración mensual de IVA (D-104)</v>
      </c>
      <c r="F504" s="14">
        <v>0.75</v>
      </c>
      <c r="G504" s="15">
        <f>Parametros!$B$4</f>
        <v>28681</v>
      </c>
      <c r="H504" s="14">
        <f>INDEX(Clientes!$E$4:$E$15,MATCH(B504,Clientes!$A$4:$A$15,0))</f>
        <v>1</v>
      </c>
      <c r="I504" s="15">
        <f t="shared" si="7"/>
        <v>21511</v>
      </c>
    </row>
    <row r="505" spans="1:9" x14ac:dyDescent="0.3">
      <c r="A505" s="13">
        <v>45962</v>
      </c>
      <c r="B505" t="s">
        <v>29</v>
      </c>
      <c r="C505" t="s">
        <v>66</v>
      </c>
      <c r="D505" t="str">
        <f>INDEX(Clientes!$B$4:$B$15,MATCH(B505,Clientes!$A$4:$A$15,0))</f>
        <v>Distribuidora Los Andes S.A.</v>
      </c>
      <c r="E505" t="str">
        <f>INDEX(Catalogo_Servicios!$C$4:$C$24,MATCH(C505,Catalogo_Servicios!$A$4:$A$24,0))</f>
        <v>Declaración mensual de retenciones (D-103)</v>
      </c>
      <c r="F505" s="14">
        <v>0.25</v>
      </c>
      <c r="G505" s="15">
        <f>Parametros!$B$4</f>
        <v>28681</v>
      </c>
      <c r="H505" s="14">
        <f>INDEX(Clientes!$E$4:$E$15,MATCH(B505,Clientes!$A$4:$A$15,0))</f>
        <v>1</v>
      </c>
      <c r="I505" s="15">
        <f t="shared" si="7"/>
        <v>7170</v>
      </c>
    </row>
    <row r="506" spans="1:9" x14ac:dyDescent="0.3">
      <c r="A506" s="13">
        <v>45962</v>
      </c>
      <c r="B506" t="s">
        <v>29</v>
      </c>
      <c r="C506" t="s">
        <v>67</v>
      </c>
      <c r="D506" t="str">
        <f>INDEX(Clientes!$B$4:$B$15,MATCH(B506,Clientes!$A$4:$A$15,0))</f>
        <v>Distribuidora Los Andes S.A.</v>
      </c>
      <c r="E506" t="str">
        <f>INDEX(Catalogo_Servicios!$C$4:$C$24,MATCH(C506,Catalogo_Servicios!$A$4:$A$24,0))</f>
        <v>Cálculo de planillas y cargas sociales (CCSS/INS)</v>
      </c>
      <c r="F506" s="14">
        <v>23.5</v>
      </c>
      <c r="G506" s="15">
        <f>Parametros!$B$4</f>
        <v>28681</v>
      </c>
      <c r="H506" s="14">
        <f>INDEX(Clientes!$E$4:$E$15,MATCH(B506,Clientes!$A$4:$A$15,0))</f>
        <v>1</v>
      </c>
      <c r="I506" s="15">
        <f t="shared" si="7"/>
        <v>674004</v>
      </c>
    </row>
    <row r="507" spans="1:9" x14ac:dyDescent="0.3">
      <c r="A507" s="13">
        <v>45962</v>
      </c>
      <c r="B507" t="s">
        <v>30</v>
      </c>
      <c r="C507" t="s">
        <v>64</v>
      </c>
      <c r="D507" t="str">
        <f>INDEX(Clientes!$B$4:$B$15,MATCH(B507,Clientes!$A$4:$A$15,0))</f>
        <v>Ferretería El Tornillo</v>
      </c>
      <c r="E507" t="str">
        <f>INDEX(Catalogo_Servicios!$C$4:$C$24,MATCH(C507,Catalogo_Servicios!$A$4:$A$24,0))</f>
        <v>Estados financieros mensuales</v>
      </c>
      <c r="F507" s="14">
        <v>3.25</v>
      </c>
      <c r="G507" s="15">
        <f>Parametros!$B$4</f>
        <v>28681</v>
      </c>
      <c r="H507" s="14">
        <f>INDEX(Clientes!$E$4:$E$15,MATCH(B507,Clientes!$A$4:$A$15,0))</f>
        <v>1</v>
      </c>
      <c r="I507" s="15">
        <f t="shared" si="7"/>
        <v>93213</v>
      </c>
    </row>
    <row r="508" spans="1:9" x14ac:dyDescent="0.3">
      <c r="A508" s="13">
        <v>45962</v>
      </c>
      <c r="B508" t="s">
        <v>30</v>
      </c>
      <c r="C508" t="s">
        <v>65</v>
      </c>
      <c r="D508" t="str">
        <f>INDEX(Clientes!$B$4:$B$15,MATCH(B508,Clientes!$A$4:$A$15,0))</f>
        <v>Ferretería El Tornillo</v>
      </c>
      <c r="E508" t="str">
        <f>INDEX(Catalogo_Servicios!$C$4:$C$24,MATCH(C508,Catalogo_Servicios!$A$4:$A$24,0))</f>
        <v>Declaración mensual de IVA (D-104)</v>
      </c>
      <c r="F508" s="14">
        <v>0.75</v>
      </c>
      <c r="G508" s="15">
        <f>Parametros!$B$4</f>
        <v>28681</v>
      </c>
      <c r="H508" s="14">
        <f>INDEX(Clientes!$E$4:$E$15,MATCH(B508,Clientes!$A$4:$A$15,0))</f>
        <v>1</v>
      </c>
      <c r="I508" s="15">
        <f t="shared" si="7"/>
        <v>21511</v>
      </c>
    </row>
    <row r="509" spans="1:9" x14ac:dyDescent="0.3">
      <c r="A509" s="13">
        <v>45962</v>
      </c>
      <c r="B509" t="s">
        <v>30</v>
      </c>
      <c r="C509" t="s">
        <v>66</v>
      </c>
      <c r="D509" t="str">
        <f>INDEX(Clientes!$B$4:$B$15,MATCH(B509,Clientes!$A$4:$A$15,0))</f>
        <v>Ferretería El Tornillo</v>
      </c>
      <c r="E509" t="str">
        <f>INDEX(Catalogo_Servicios!$C$4:$C$24,MATCH(C509,Catalogo_Servicios!$A$4:$A$24,0))</f>
        <v>Declaración mensual de retenciones (D-103)</v>
      </c>
      <c r="F509" s="14">
        <v>0.25</v>
      </c>
      <c r="G509" s="15">
        <f>Parametros!$B$4</f>
        <v>28681</v>
      </c>
      <c r="H509" s="14">
        <f>INDEX(Clientes!$E$4:$E$15,MATCH(B509,Clientes!$A$4:$A$15,0))</f>
        <v>1</v>
      </c>
      <c r="I509" s="15">
        <f t="shared" si="7"/>
        <v>7170</v>
      </c>
    </row>
    <row r="510" spans="1:9" x14ac:dyDescent="0.3">
      <c r="A510" s="13">
        <v>45962</v>
      </c>
      <c r="B510" t="s">
        <v>31</v>
      </c>
      <c r="C510" t="s">
        <v>65</v>
      </c>
      <c r="D510" t="str">
        <f>INDEX(Clientes!$B$4:$B$15,MATCH(B510,Clientes!$A$4:$A$15,0))</f>
        <v>Clínica Dental Sonrisa</v>
      </c>
      <c r="E510" t="str">
        <f>INDEX(Catalogo_Servicios!$C$4:$C$24,MATCH(C510,Catalogo_Servicios!$A$4:$A$24,0))</f>
        <v>Declaración mensual de IVA (D-104)</v>
      </c>
      <c r="F510" s="14">
        <v>1</v>
      </c>
      <c r="G510" s="15">
        <f>Parametros!$B$4</f>
        <v>28681</v>
      </c>
      <c r="H510" s="14">
        <f>INDEX(Clientes!$E$4:$E$15,MATCH(B510,Clientes!$A$4:$A$15,0))</f>
        <v>1.1000000000000001</v>
      </c>
      <c r="I510" s="15">
        <f t="shared" si="7"/>
        <v>31549</v>
      </c>
    </row>
    <row r="511" spans="1:9" x14ac:dyDescent="0.3">
      <c r="A511" s="13">
        <v>45962</v>
      </c>
      <c r="B511" t="s">
        <v>32</v>
      </c>
      <c r="C511" t="s">
        <v>65</v>
      </c>
      <c r="D511" t="str">
        <f>INDEX(Clientes!$B$4:$B$15,MATCH(B511,Clientes!$A$4:$A$15,0))</f>
        <v>Soda y Restaurante Doña Lela</v>
      </c>
      <c r="E511" t="str">
        <f>INDEX(Catalogo_Servicios!$C$4:$C$24,MATCH(C511,Catalogo_Servicios!$A$4:$A$24,0))</f>
        <v>Declaración mensual de IVA (D-104)</v>
      </c>
      <c r="F511" s="14">
        <v>1</v>
      </c>
      <c r="G511" s="15">
        <f>Parametros!$B$4</f>
        <v>28681</v>
      </c>
      <c r="H511" s="14">
        <f>INDEX(Clientes!$E$4:$E$15,MATCH(B511,Clientes!$A$4:$A$15,0))</f>
        <v>1</v>
      </c>
      <c r="I511" s="15">
        <f t="shared" si="7"/>
        <v>28681</v>
      </c>
    </row>
    <row r="512" spans="1:9" x14ac:dyDescent="0.3">
      <c r="A512" s="13">
        <v>45962</v>
      </c>
      <c r="B512" t="s">
        <v>33</v>
      </c>
      <c r="C512" t="s">
        <v>65</v>
      </c>
      <c r="D512" t="str">
        <f>INDEX(Clientes!$B$4:$B$15,MATCH(B512,Clientes!$A$4:$A$15,0))</f>
        <v>Transportes Rápidos del Valle</v>
      </c>
      <c r="E512" t="str">
        <f>INDEX(Catalogo_Servicios!$C$4:$C$24,MATCH(C512,Catalogo_Servicios!$A$4:$A$24,0))</f>
        <v>Declaración mensual de IVA (D-104)</v>
      </c>
      <c r="F512" s="14">
        <v>0.75</v>
      </c>
      <c r="G512" s="15">
        <f>Parametros!$B$4</f>
        <v>28681</v>
      </c>
      <c r="H512" s="14">
        <f>INDEX(Clientes!$E$4:$E$15,MATCH(B512,Clientes!$A$4:$A$15,0))</f>
        <v>1</v>
      </c>
      <c r="I512" s="15">
        <f t="shared" si="7"/>
        <v>21511</v>
      </c>
    </row>
    <row r="513" spans="1:9" x14ac:dyDescent="0.3">
      <c r="A513" s="13">
        <v>45962</v>
      </c>
      <c r="B513" t="s">
        <v>33</v>
      </c>
      <c r="C513" t="s">
        <v>66</v>
      </c>
      <c r="D513" t="str">
        <f>INDEX(Clientes!$B$4:$B$15,MATCH(B513,Clientes!$A$4:$A$15,0))</f>
        <v>Transportes Rápidos del Valle</v>
      </c>
      <c r="E513" t="str">
        <f>INDEX(Catalogo_Servicios!$C$4:$C$24,MATCH(C513,Catalogo_Servicios!$A$4:$A$24,0))</f>
        <v>Declaración mensual de retenciones (D-103)</v>
      </c>
      <c r="F513" s="14">
        <v>0.25</v>
      </c>
      <c r="G513" s="15">
        <f>Parametros!$B$4</f>
        <v>28681</v>
      </c>
      <c r="H513" s="14">
        <f>INDEX(Clientes!$E$4:$E$15,MATCH(B513,Clientes!$A$4:$A$15,0))</f>
        <v>1</v>
      </c>
      <c r="I513" s="15">
        <f t="shared" si="7"/>
        <v>7170</v>
      </c>
    </row>
    <row r="514" spans="1:9" x14ac:dyDescent="0.3">
      <c r="A514" s="13">
        <v>45962</v>
      </c>
      <c r="B514" t="s">
        <v>33</v>
      </c>
      <c r="C514" t="s">
        <v>67</v>
      </c>
      <c r="D514" t="str">
        <f>INDEX(Clientes!$B$4:$B$15,MATCH(B514,Clientes!$A$4:$A$15,0))</f>
        <v>Transportes Rápidos del Valle</v>
      </c>
      <c r="E514" t="str">
        <f>INDEX(Catalogo_Servicios!$C$4:$C$24,MATCH(C514,Catalogo_Servicios!$A$4:$A$24,0))</f>
        <v>Cálculo de planillas y cargas sociales (CCSS/INS)</v>
      </c>
      <c r="F514" s="14">
        <v>6</v>
      </c>
      <c r="G514" s="15">
        <f>Parametros!$B$4</f>
        <v>28681</v>
      </c>
      <c r="H514" s="14">
        <f>INDEX(Clientes!$E$4:$E$15,MATCH(B514,Clientes!$A$4:$A$15,0))</f>
        <v>1</v>
      </c>
      <c r="I514" s="15">
        <f t="shared" si="7"/>
        <v>172086</v>
      </c>
    </row>
    <row r="515" spans="1:9" x14ac:dyDescent="0.3">
      <c r="A515" s="13">
        <v>45962</v>
      </c>
      <c r="B515" t="s">
        <v>35</v>
      </c>
      <c r="C515" t="s">
        <v>65</v>
      </c>
      <c r="D515" t="str">
        <f>INDEX(Clientes!$B$4:$B$15,MATCH(B515,Clientes!$A$4:$A$15,0))</f>
        <v>Taller Mecánico Hermanos Mora</v>
      </c>
      <c r="E515" t="str">
        <f>INDEX(Catalogo_Servicios!$C$4:$C$24,MATCH(C515,Catalogo_Servicios!$A$4:$A$24,0))</f>
        <v>Declaración mensual de IVA (D-104)</v>
      </c>
      <c r="F515" s="14">
        <v>0.75</v>
      </c>
      <c r="G515" s="15">
        <f>Parametros!$B$4</f>
        <v>28681</v>
      </c>
      <c r="H515" s="14">
        <f>INDEX(Clientes!$E$4:$E$15,MATCH(B515,Clientes!$A$4:$A$15,0))</f>
        <v>1</v>
      </c>
      <c r="I515" s="15">
        <f t="shared" si="7"/>
        <v>21511</v>
      </c>
    </row>
    <row r="516" spans="1:9" x14ac:dyDescent="0.3">
      <c r="A516" s="13">
        <v>45962</v>
      </c>
      <c r="B516" t="s">
        <v>36</v>
      </c>
      <c r="C516" t="s">
        <v>65</v>
      </c>
      <c r="D516" t="str">
        <f>INDEX(Clientes!$B$4:$B$15,MATCH(B516,Clientes!$A$4:$A$15,0))</f>
        <v>Agroservicios Cartago</v>
      </c>
      <c r="E516" t="str">
        <f>INDEX(Catalogo_Servicios!$C$4:$C$24,MATCH(C516,Catalogo_Servicios!$A$4:$A$24,0))</f>
        <v>Declaración mensual de IVA (D-104)</v>
      </c>
      <c r="F516" s="14">
        <v>0.75</v>
      </c>
      <c r="G516" s="15">
        <f>Parametros!$B$4</f>
        <v>28681</v>
      </c>
      <c r="H516" s="14">
        <f>INDEX(Clientes!$E$4:$E$15,MATCH(B516,Clientes!$A$4:$A$15,0))</f>
        <v>1</v>
      </c>
      <c r="I516" s="15">
        <f t="shared" ref="I516:I579" si="8">ROUND(F516*G516*H516,0)</f>
        <v>21511</v>
      </c>
    </row>
    <row r="517" spans="1:9" x14ac:dyDescent="0.3">
      <c r="A517" s="13">
        <v>45962</v>
      </c>
      <c r="B517" t="s">
        <v>36</v>
      </c>
      <c r="C517" t="s">
        <v>66</v>
      </c>
      <c r="D517" t="str">
        <f>INDEX(Clientes!$B$4:$B$15,MATCH(B517,Clientes!$A$4:$A$15,0))</f>
        <v>Agroservicios Cartago</v>
      </c>
      <c r="E517" t="str">
        <f>INDEX(Catalogo_Servicios!$C$4:$C$24,MATCH(C517,Catalogo_Servicios!$A$4:$A$24,0))</f>
        <v>Declaración mensual de retenciones (D-103)</v>
      </c>
      <c r="F517" s="14">
        <v>0.25</v>
      </c>
      <c r="G517" s="15">
        <f>Parametros!$B$4</f>
        <v>28681</v>
      </c>
      <c r="H517" s="14">
        <f>INDEX(Clientes!$E$4:$E$15,MATCH(B517,Clientes!$A$4:$A$15,0))</f>
        <v>1</v>
      </c>
      <c r="I517" s="15">
        <f t="shared" si="8"/>
        <v>7170</v>
      </c>
    </row>
    <row r="518" spans="1:9" x14ac:dyDescent="0.3">
      <c r="A518" s="13">
        <v>45962</v>
      </c>
      <c r="B518" t="s">
        <v>38</v>
      </c>
      <c r="C518" t="s">
        <v>65</v>
      </c>
      <c r="D518" t="str">
        <f>INDEX(Clientes!$B$4:$B$15,MATCH(B518,Clientes!$A$4:$A$15,0))</f>
        <v>Panadería La Espiga</v>
      </c>
      <c r="E518" t="str">
        <f>INDEX(Catalogo_Servicios!$C$4:$C$24,MATCH(C518,Catalogo_Servicios!$A$4:$A$24,0))</f>
        <v>Declaración mensual de IVA (D-104)</v>
      </c>
      <c r="F518" s="14">
        <v>0.75</v>
      </c>
      <c r="G518" s="15">
        <f>Parametros!$B$4</f>
        <v>28681</v>
      </c>
      <c r="H518" s="14">
        <f>INDEX(Clientes!$E$4:$E$15,MATCH(B518,Clientes!$A$4:$A$15,0))</f>
        <v>1</v>
      </c>
      <c r="I518" s="15">
        <f t="shared" si="8"/>
        <v>21511</v>
      </c>
    </row>
    <row r="519" spans="1:9" x14ac:dyDescent="0.3">
      <c r="A519" s="13">
        <v>45962</v>
      </c>
      <c r="B519" t="s">
        <v>38</v>
      </c>
      <c r="C519" t="s">
        <v>67</v>
      </c>
      <c r="D519" t="str">
        <f>INDEX(Clientes!$B$4:$B$15,MATCH(B519,Clientes!$A$4:$A$15,0))</f>
        <v>Panadería La Espiga</v>
      </c>
      <c r="E519" t="str">
        <f>INDEX(Catalogo_Servicios!$C$4:$C$24,MATCH(C519,Catalogo_Servicios!$A$4:$A$24,0))</f>
        <v>Cálculo de planillas y cargas sociales (CCSS/INS)</v>
      </c>
      <c r="F519" s="14">
        <v>7.5</v>
      </c>
      <c r="G519" s="15">
        <f>Parametros!$B$4</f>
        <v>28681</v>
      </c>
      <c r="H519" s="14">
        <f>INDEX(Clientes!$E$4:$E$15,MATCH(B519,Clientes!$A$4:$A$15,0))</f>
        <v>1</v>
      </c>
      <c r="I519" s="15">
        <f t="shared" si="8"/>
        <v>215108</v>
      </c>
    </row>
    <row r="520" spans="1:9" x14ac:dyDescent="0.3">
      <c r="A520" s="13">
        <v>45992</v>
      </c>
      <c r="B520" t="s">
        <v>29</v>
      </c>
      <c r="C520" t="s">
        <v>64</v>
      </c>
      <c r="D520" t="str">
        <f>INDEX(Clientes!$B$4:$B$15,MATCH(B520,Clientes!$A$4:$A$15,0))</f>
        <v>Distribuidora Los Andes S.A.</v>
      </c>
      <c r="E520" t="str">
        <f>INDEX(Catalogo_Servicios!$C$4:$C$24,MATCH(C520,Catalogo_Servicios!$A$4:$A$24,0))</f>
        <v>Estados financieros mensuales</v>
      </c>
      <c r="F520" s="14">
        <v>3</v>
      </c>
      <c r="G520" s="15">
        <f>Parametros!$B$4</f>
        <v>28681</v>
      </c>
      <c r="H520" s="14">
        <f>INDEX(Clientes!$E$4:$E$15,MATCH(B520,Clientes!$A$4:$A$15,0))</f>
        <v>1</v>
      </c>
      <c r="I520" s="15">
        <f t="shared" si="8"/>
        <v>86043</v>
      </c>
    </row>
    <row r="521" spans="1:9" x14ac:dyDescent="0.3">
      <c r="A521" s="13">
        <v>45992</v>
      </c>
      <c r="B521" t="s">
        <v>29</v>
      </c>
      <c r="C521" t="s">
        <v>65</v>
      </c>
      <c r="D521" t="str">
        <f>INDEX(Clientes!$B$4:$B$15,MATCH(B521,Clientes!$A$4:$A$15,0))</f>
        <v>Distribuidora Los Andes S.A.</v>
      </c>
      <c r="E521" t="str">
        <f>INDEX(Catalogo_Servicios!$C$4:$C$24,MATCH(C521,Catalogo_Servicios!$A$4:$A$24,0))</f>
        <v>Declaración mensual de IVA (D-104)</v>
      </c>
      <c r="F521" s="14">
        <v>0.75</v>
      </c>
      <c r="G521" s="15">
        <f>Parametros!$B$4</f>
        <v>28681</v>
      </c>
      <c r="H521" s="14">
        <f>INDEX(Clientes!$E$4:$E$15,MATCH(B521,Clientes!$A$4:$A$15,0))</f>
        <v>1</v>
      </c>
      <c r="I521" s="15">
        <f t="shared" si="8"/>
        <v>21511</v>
      </c>
    </row>
    <row r="522" spans="1:9" x14ac:dyDescent="0.3">
      <c r="A522" s="13">
        <v>45992</v>
      </c>
      <c r="B522" t="s">
        <v>29</v>
      </c>
      <c r="C522" t="s">
        <v>66</v>
      </c>
      <c r="D522" t="str">
        <f>INDEX(Clientes!$B$4:$B$15,MATCH(B522,Clientes!$A$4:$A$15,0))</f>
        <v>Distribuidora Los Andes S.A.</v>
      </c>
      <c r="E522" t="str">
        <f>INDEX(Catalogo_Servicios!$C$4:$C$24,MATCH(C522,Catalogo_Servicios!$A$4:$A$24,0))</f>
        <v>Declaración mensual de retenciones (D-103)</v>
      </c>
      <c r="F522" s="14">
        <v>0.25</v>
      </c>
      <c r="G522" s="15">
        <f>Parametros!$B$4</f>
        <v>28681</v>
      </c>
      <c r="H522" s="14">
        <f>INDEX(Clientes!$E$4:$E$15,MATCH(B522,Clientes!$A$4:$A$15,0))</f>
        <v>1</v>
      </c>
      <c r="I522" s="15">
        <f t="shared" si="8"/>
        <v>7170</v>
      </c>
    </row>
    <row r="523" spans="1:9" x14ac:dyDescent="0.3">
      <c r="A523" s="13">
        <v>45992</v>
      </c>
      <c r="B523" t="s">
        <v>29</v>
      </c>
      <c r="C523" t="s">
        <v>67</v>
      </c>
      <c r="D523" t="str">
        <f>INDEX(Clientes!$B$4:$B$15,MATCH(B523,Clientes!$A$4:$A$15,0))</f>
        <v>Distribuidora Los Andes S.A.</v>
      </c>
      <c r="E523" t="str">
        <f>INDEX(Catalogo_Servicios!$C$4:$C$24,MATCH(C523,Catalogo_Servicios!$A$4:$A$24,0))</f>
        <v>Cálculo de planillas y cargas sociales (CCSS/INS)</v>
      </c>
      <c r="F523" s="14">
        <v>25</v>
      </c>
      <c r="G523" s="15">
        <f>Parametros!$B$4</f>
        <v>28681</v>
      </c>
      <c r="H523" s="14">
        <f>INDEX(Clientes!$E$4:$E$15,MATCH(B523,Clientes!$A$4:$A$15,0))</f>
        <v>1</v>
      </c>
      <c r="I523" s="15">
        <f t="shared" si="8"/>
        <v>717025</v>
      </c>
    </row>
    <row r="524" spans="1:9" x14ac:dyDescent="0.3">
      <c r="A524" s="13">
        <v>45992</v>
      </c>
      <c r="B524" t="s">
        <v>29</v>
      </c>
      <c r="C524" t="s">
        <v>69</v>
      </c>
      <c r="D524" t="str">
        <f>INDEX(Clientes!$B$4:$B$15,MATCH(B524,Clientes!$A$4:$A$15,0))</f>
        <v>Distribuidora Los Andes S.A.</v>
      </c>
      <c r="E524" t="str">
        <f>INDEX(Catalogo_Servicios!$C$4:$C$24,MATCH(C524,Catalogo_Servicios!$A$4:$A$24,0))</f>
        <v>Declaración anual de renta (D-101 / D-105)</v>
      </c>
      <c r="F524" s="14">
        <v>1.5</v>
      </c>
      <c r="G524" s="15">
        <f>Parametros!$B$4</f>
        <v>28681</v>
      </c>
      <c r="H524" s="14">
        <f>INDEX(Clientes!$E$4:$E$15,MATCH(B524,Clientes!$A$4:$A$15,0))</f>
        <v>1</v>
      </c>
      <c r="I524" s="15">
        <f t="shared" si="8"/>
        <v>43022</v>
      </c>
    </row>
    <row r="525" spans="1:9" x14ac:dyDescent="0.3">
      <c r="A525" s="13">
        <v>45992</v>
      </c>
      <c r="B525" t="s">
        <v>29</v>
      </c>
      <c r="C525" t="s">
        <v>70</v>
      </c>
      <c r="D525" t="str">
        <f>INDEX(Clientes!$B$4:$B$15,MATCH(B525,Clientes!$A$4:$A$15,0))</f>
        <v>Distribuidora Los Andes S.A.</v>
      </c>
      <c r="E525" t="str">
        <f>INDEX(Catalogo_Servicios!$C$4:$C$24,MATCH(C525,Catalogo_Servicios!$A$4:$A$24,0))</f>
        <v>Estados financieros anuales / cierre fiscal</v>
      </c>
      <c r="F525" s="14">
        <v>6</v>
      </c>
      <c r="G525" s="15">
        <f>Parametros!$B$4</f>
        <v>28681</v>
      </c>
      <c r="H525" s="14">
        <f>INDEX(Clientes!$E$4:$E$15,MATCH(B525,Clientes!$A$4:$A$15,0))</f>
        <v>1</v>
      </c>
      <c r="I525" s="15">
        <f t="shared" si="8"/>
        <v>172086</v>
      </c>
    </row>
    <row r="526" spans="1:9" x14ac:dyDescent="0.3">
      <c r="A526" s="13">
        <v>45992</v>
      </c>
      <c r="B526" t="s">
        <v>30</v>
      </c>
      <c r="C526" t="s">
        <v>64</v>
      </c>
      <c r="D526" t="str">
        <f>INDEX(Clientes!$B$4:$B$15,MATCH(B526,Clientes!$A$4:$A$15,0))</f>
        <v>Ferretería El Tornillo</v>
      </c>
      <c r="E526" t="str">
        <f>INDEX(Catalogo_Servicios!$C$4:$C$24,MATCH(C526,Catalogo_Servicios!$A$4:$A$24,0))</f>
        <v>Estados financieros mensuales</v>
      </c>
      <c r="F526" s="14">
        <v>3.5</v>
      </c>
      <c r="G526" s="15">
        <f>Parametros!$B$4</f>
        <v>28681</v>
      </c>
      <c r="H526" s="14">
        <f>INDEX(Clientes!$E$4:$E$15,MATCH(B526,Clientes!$A$4:$A$15,0))</f>
        <v>1</v>
      </c>
      <c r="I526" s="15">
        <f t="shared" si="8"/>
        <v>100384</v>
      </c>
    </row>
    <row r="527" spans="1:9" x14ac:dyDescent="0.3">
      <c r="A527" s="13">
        <v>45992</v>
      </c>
      <c r="B527" t="s">
        <v>30</v>
      </c>
      <c r="C527" t="s">
        <v>65</v>
      </c>
      <c r="D527" t="str">
        <f>INDEX(Clientes!$B$4:$B$15,MATCH(B527,Clientes!$A$4:$A$15,0))</f>
        <v>Ferretería El Tornillo</v>
      </c>
      <c r="E527" t="str">
        <f>INDEX(Catalogo_Servicios!$C$4:$C$24,MATCH(C527,Catalogo_Servicios!$A$4:$A$24,0))</f>
        <v>Declaración mensual de IVA (D-104)</v>
      </c>
      <c r="F527" s="14">
        <v>0.75</v>
      </c>
      <c r="G527" s="15">
        <f>Parametros!$B$4</f>
        <v>28681</v>
      </c>
      <c r="H527" s="14">
        <f>INDEX(Clientes!$E$4:$E$15,MATCH(B527,Clientes!$A$4:$A$15,0))</f>
        <v>1</v>
      </c>
      <c r="I527" s="15">
        <f t="shared" si="8"/>
        <v>21511</v>
      </c>
    </row>
    <row r="528" spans="1:9" x14ac:dyDescent="0.3">
      <c r="A528" s="13">
        <v>45992</v>
      </c>
      <c r="B528" t="s">
        <v>30</v>
      </c>
      <c r="C528" t="s">
        <v>66</v>
      </c>
      <c r="D528" t="str">
        <f>INDEX(Clientes!$B$4:$B$15,MATCH(B528,Clientes!$A$4:$A$15,0))</f>
        <v>Ferretería El Tornillo</v>
      </c>
      <c r="E528" t="str">
        <f>INDEX(Catalogo_Servicios!$C$4:$C$24,MATCH(C528,Catalogo_Servicios!$A$4:$A$24,0))</f>
        <v>Declaración mensual de retenciones (D-103)</v>
      </c>
      <c r="F528" s="14">
        <v>0.25</v>
      </c>
      <c r="G528" s="15">
        <f>Parametros!$B$4</f>
        <v>28681</v>
      </c>
      <c r="H528" s="14">
        <f>INDEX(Clientes!$E$4:$E$15,MATCH(B528,Clientes!$A$4:$A$15,0))</f>
        <v>1</v>
      </c>
      <c r="I528" s="15">
        <f t="shared" si="8"/>
        <v>7170</v>
      </c>
    </row>
    <row r="529" spans="1:9" x14ac:dyDescent="0.3">
      <c r="A529" s="13">
        <v>45992</v>
      </c>
      <c r="B529" t="s">
        <v>31</v>
      </c>
      <c r="C529" t="s">
        <v>65</v>
      </c>
      <c r="D529" t="str">
        <f>INDEX(Clientes!$B$4:$B$15,MATCH(B529,Clientes!$A$4:$A$15,0))</f>
        <v>Clínica Dental Sonrisa</v>
      </c>
      <c r="E529" t="str">
        <f>INDEX(Catalogo_Servicios!$C$4:$C$24,MATCH(C529,Catalogo_Servicios!$A$4:$A$24,0))</f>
        <v>Declaración mensual de IVA (D-104)</v>
      </c>
      <c r="F529" s="14">
        <v>0.75</v>
      </c>
      <c r="G529" s="15">
        <f>Parametros!$B$4</f>
        <v>28681</v>
      </c>
      <c r="H529" s="14">
        <f>INDEX(Clientes!$E$4:$E$15,MATCH(B529,Clientes!$A$4:$A$15,0))</f>
        <v>1.1000000000000001</v>
      </c>
      <c r="I529" s="15">
        <f t="shared" si="8"/>
        <v>23662</v>
      </c>
    </row>
    <row r="530" spans="1:9" x14ac:dyDescent="0.3">
      <c r="A530" s="13">
        <v>45992</v>
      </c>
      <c r="B530" t="s">
        <v>31</v>
      </c>
      <c r="C530" t="s">
        <v>69</v>
      </c>
      <c r="D530" t="str">
        <f>INDEX(Clientes!$B$4:$B$15,MATCH(B530,Clientes!$A$4:$A$15,0))</f>
        <v>Clínica Dental Sonrisa</v>
      </c>
      <c r="E530" t="str">
        <f>INDEX(Catalogo_Servicios!$C$4:$C$24,MATCH(C530,Catalogo_Servicios!$A$4:$A$24,0))</f>
        <v>Declaración anual de renta (D-101 / D-105)</v>
      </c>
      <c r="F530" s="14">
        <v>1.75</v>
      </c>
      <c r="G530" s="15">
        <f>Parametros!$B$4</f>
        <v>28681</v>
      </c>
      <c r="H530" s="14">
        <f>INDEX(Clientes!$E$4:$E$15,MATCH(B530,Clientes!$A$4:$A$15,0))</f>
        <v>1.1000000000000001</v>
      </c>
      <c r="I530" s="15">
        <f t="shared" si="8"/>
        <v>55211</v>
      </c>
    </row>
    <row r="531" spans="1:9" x14ac:dyDescent="0.3">
      <c r="A531" s="13">
        <v>45992</v>
      </c>
      <c r="B531" t="s">
        <v>32</v>
      </c>
      <c r="C531" t="s">
        <v>65</v>
      </c>
      <c r="D531" t="str">
        <f>INDEX(Clientes!$B$4:$B$15,MATCH(B531,Clientes!$A$4:$A$15,0))</f>
        <v>Soda y Restaurante Doña Lela</v>
      </c>
      <c r="E531" t="str">
        <f>INDEX(Catalogo_Servicios!$C$4:$C$24,MATCH(C531,Catalogo_Servicios!$A$4:$A$24,0))</f>
        <v>Declaración mensual de IVA (D-104)</v>
      </c>
      <c r="F531" s="14">
        <v>0.75</v>
      </c>
      <c r="G531" s="15">
        <f>Parametros!$B$4</f>
        <v>28681</v>
      </c>
      <c r="H531" s="14">
        <f>INDEX(Clientes!$E$4:$E$15,MATCH(B531,Clientes!$A$4:$A$15,0))</f>
        <v>1</v>
      </c>
      <c r="I531" s="15">
        <f t="shared" si="8"/>
        <v>21511</v>
      </c>
    </row>
    <row r="532" spans="1:9" x14ac:dyDescent="0.3">
      <c r="A532" s="13">
        <v>45992</v>
      </c>
      <c r="B532" t="s">
        <v>32</v>
      </c>
      <c r="C532" t="s">
        <v>69</v>
      </c>
      <c r="D532" t="str">
        <f>INDEX(Clientes!$B$4:$B$15,MATCH(B532,Clientes!$A$4:$A$15,0))</f>
        <v>Soda y Restaurante Doña Lela</v>
      </c>
      <c r="E532" t="str">
        <f>INDEX(Catalogo_Servicios!$C$4:$C$24,MATCH(C532,Catalogo_Servicios!$A$4:$A$24,0))</f>
        <v>Declaración anual de renta (D-101 / D-105)</v>
      </c>
      <c r="F532" s="14">
        <v>1.75</v>
      </c>
      <c r="G532" s="15">
        <f>Parametros!$B$4</f>
        <v>28681</v>
      </c>
      <c r="H532" s="14">
        <f>INDEX(Clientes!$E$4:$E$15,MATCH(B532,Clientes!$A$4:$A$15,0))</f>
        <v>1</v>
      </c>
      <c r="I532" s="15">
        <f t="shared" si="8"/>
        <v>50192</v>
      </c>
    </row>
    <row r="533" spans="1:9" x14ac:dyDescent="0.3">
      <c r="A533" s="13">
        <v>45992</v>
      </c>
      <c r="B533" t="s">
        <v>33</v>
      </c>
      <c r="C533" t="s">
        <v>65</v>
      </c>
      <c r="D533" t="str">
        <f>INDEX(Clientes!$B$4:$B$15,MATCH(B533,Clientes!$A$4:$A$15,0))</f>
        <v>Transportes Rápidos del Valle</v>
      </c>
      <c r="E533" t="str">
        <f>INDEX(Catalogo_Servicios!$C$4:$C$24,MATCH(C533,Catalogo_Servicios!$A$4:$A$24,0))</f>
        <v>Declaración mensual de IVA (D-104)</v>
      </c>
      <c r="F533" s="14">
        <v>1</v>
      </c>
      <c r="G533" s="15">
        <f>Parametros!$B$4</f>
        <v>28681</v>
      </c>
      <c r="H533" s="14">
        <f>INDEX(Clientes!$E$4:$E$15,MATCH(B533,Clientes!$A$4:$A$15,0))</f>
        <v>1</v>
      </c>
      <c r="I533" s="15">
        <f t="shared" si="8"/>
        <v>28681</v>
      </c>
    </row>
    <row r="534" spans="1:9" x14ac:dyDescent="0.3">
      <c r="A534" s="13">
        <v>45992</v>
      </c>
      <c r="B534" t="s">
        <v>33</v>
      </c>
      <c r="C534" t="s">
        <v>66</v>
      </c>
      <c r="D534" t="str">
        <f>INDEX(Clientes!$B$4:$B$15,MATCH(B534,Clientes!$A$4:$A$15,0))</f>
        <v>Transportes Rápidos del Valle</v>
      </c>
      <c r="E534" t="str">
        <f>INDEX(Catalogo_Servicios!$C$4:$C$24,MATCH(C534,Catalogo_Servicios!$A$4:$A$24,0))</f>
        <v>Declaración mensual de retenciones (D-103)</v>
      </c>
      <c r="F534" s="14">
        <v>0.25</v>
      </c>
      <c r="G534" s="15">
        <f>Parametros!$B$4</f>
        <v>28681</v>
      </c>
      <c r="H534" s="14">
        <f>INDEX(Clientes!$E$4:$E$15,MATCH(B534,Clientes!$A$4:$A$15,0))</f>
        <v>1</v>
      </c>
      <c r="I534" s="15">
        <f t="shared" si="8"/>
        <v>7170</v>
      </c>
    </row>
    <row r="535" spans="1:9" x14ac:dyDescent="0.3">
      <c r="A535" s="13">
        <v>45992</v>
      </c>
      <c r="B535" t="s">
        <v>33</v>
      </c>
      <c r="C535" t="s">
        <v>67</v>
      </c>
      <c r="D535" t="str">
        <f>INDEX(Clientes!$B$4:$B$15,MATCH(B535,Clientes!$A$4:$A$15,0))</f>
        <v>Transportes Rápidos del Valle</v>
      </c>
      <c r="E535" t="str">
        <f>INDEX(Catalogo_Servicios!$C$4:$C$24,MATCH(C535,Catalogo_Servicios!$A$4:$A$24,0))</f>
        <v>Cálculo de planillas y cargas sociales (CCSS/INS)</v>
      </c>
      <c r="F535" s="14">
        <v>6.5</v>
      </c>
      <c r="G535" s="15">
        <f>Parametros!$B$4</f>
        <v>28681</v>
      </c>
      <c r="H535" s="14">
        <f>INDEX(Clientes!$E$4:$E$15,MATCH(B535,Clientes!$A$4:$A$15,0))</f>
        <v>1</v>
      </c>
      <c r="I535" s="15">
        <f t="shared" si="8"/>
        <v>186427</v>
      </c>
    </row>
    <row r="536" spans="1:9" x14ac:dyDescent="0.3">
      <c r="A536" s="13">
        <v>45992</v>
      </c>
      <c r="B536" t="s">
        <v>33</v>
      </c>
      <c r="C536" t="s">
        <v>69</v>
      </c>
      <c r="D536" t="str">
        <f>INDEX(Clientes!$B$4:$B$15,MATCH(B536,Clientes!$A$4:$A$15,0))</f>
        <v>Transportes Rápidos del Valle</v>
      </c>
      <c r="E536" t="str">
        <f>INDEX(Catalogo_Servicios!$C$4:$C$24,MATCH(C536,Catalogo_Servicios!$A$4:$A$24,0))</f>
        <v>Declaración anual de renta (D-101 / D-105)</v>
      </c>
      <c r="F536" s="14">
        <v>1.5</v>
      </c>
      <c r="G536" s="15">
        <f>Parametros!$B$4</f>
        <v>28681</v>
      </c>
      <c r="H536" s="14">
        <f>INDEX(Clientes!$E$4:$E$15,MATCH(B536,Clientes!$A$4:$A$15,0))</f>
        <v>1</v>
      </c>
      <c r="I536" s="15">
        <f t="shared" si="8"/>
        <v>43022</v>
      </c>
    </row>
    <row r="537" spans="1:9" x14ac:dyDescent="0.3">
      <c r="A537" s="13">
        <v>45992</v>
      </c>
      <c r="B537" t="s">
        <v>35</v>
      </c>
      <c r="C537" t="s">
        <v>65</v>
      </c>
      <c r="D537" t="str">
        <f>INDEX(Clientes!$B$4:$B$15,MATCH(B537,Clientes!$A$4:$A$15,0))</f>
        <v>Taller Mecánico Hermanos Mora</v>
      </c>
      <c r="E537" t="str">
        <f>INDEX(Catalogo_Servicios!$C$4:$C$24,MATCH(C537,Catalogo_Servicios!$A$4:$A$24,0))</f>
        <v>Declaración mensual de IVA (D-104)</v>
      </c>
      <c r="F537" s="14">
        <v>0.75</v>
      </c>
      <c r="G537" s="15">
        <f>Parametros!$B$4</f>
        <v>28681</v>
      </c>
      <c r="H537" s="14">
        <f>INDEX(Clientes!$E$4:$E$15,MATCH(B537,Clientes!$A$4:$A$15,0))</f>
        <v>1</v>
      </c>
      <c r="I537" s="15">
        <f t="shared" si="8"/>
        <v>21511</v>
      </c>
    </row>
    <row r="538" spans="1:9" x14ac:dyDescent="0.3">
      <c r="A538" s="13">
        <v>45992</v>
      </c>
      <c r="B538" t="s">
        <v>36</v>
      </c>
      <c r="C538" t="s">
        <v>65</v>
      </c>
      <c r="D538" t="str">
        <f>INDEX(Clientes!$B$4:$B$15,MATCH(B538,Clientes!$A$4:$A$15,0))</f>
        <v>Agroservicios Cartago</v>
      </c>
      <c r="E538" t="str">
        <f>INDEX(Catalogo_Servicios!$C$4:$C$24,MATCH(C538,Catalogo_Servicios!$A$4:$A$24,0))</f>
        <v>Declaración mensual de IVA (D-104)</v>
      </c>
      <c r="F538" s="14">
        <v>0.75</v>
      </c>
      <c r="G538" s="15">
        <f>Parametros!$B$4</f>
        <v>28681</v>
      </c>
      <c r="H538" s="14">
        <f>INDEX(Clientes!$E$4:$E$15,MATCH(B538,Clientes!$A$4:$A$15,0))</f>
        <v>1</v>
      </c>
      <c r="I538" s="15">
        <f t="shared" si="8"/>
        <v>21511</v>
      </c>
    </row>
    <row r="539" spans="1:9" x14ac:dyDescent="0.3">
      <c r="A539" s="13">
        <v>45992</v>
      </c>
      <c r="B539" t="s">
        <v>36</v>
      </c>
      <c r="C539" t="s">
        <v>66</v>
      </c>
      <c r="D539" t="str">
        <f>INDEX(Clientes!$B$4:$B$15,MATCH(B539,Clientes!$A$4:$A$15,0))</f>
        <v>Agroservicios Cartago</v>
      </c>
      <c r="E539" t="str">
        <f>INDEX(Catalogo_Servicios!$C$4:$C$24,MATCH(C539,Catalogo_Servicios!$A$4:$A$24,0))</f>
        <v>Declaración mensual de retenciones (D-103)</v>
      </c>
      <c r="F539" s="14">
        <v>0.25</v>
      </c>
      <c r="G539" s="15">
        <f>Parametros!$B$4</f>
        <v>28681</v>
      </c>
      <c r="H539" s="14">
        <f>INDEX(Clientes!$E$4:$E$15,MATCH(B539,Clientes!$A$4:$A$15,0))</f>
        <v>1</v>
      </c>
      <c r="I539" s="15">
        <f t="shared" si="8"/>
        <v>7170</v>
      </c>
    </row>
    <row r="540" spans="1:9" x14ac:dyDescent="0.3">
      <c r="A540" s="13">
        <v>45992</v>
      </c>
      <c r="B540" t="s">
        <v>36</v>
      </c>
      <c r="C540" t="s">
        <v>74</v>
      </c>
      <c r="D540" t="str">
        <f>INDEX(Clientes!$B$4:$B$15,MATCH(B540,Clientes!$A$4:$A$15,0))</f>
        <v>Agroservicios Cartago</v>
      </c>
      <c r="E540" t="str">
        <f>INDEX(Catalogo_Servicios!$C$4:$C$24,MATCH(C540,Catalogo_Servicios!$A$4:$A$24,0))</f>
        <v>Certificación de ingresos y estudios generales</v>
      </c>
      <c r="F540" s="14">
        <v>3</v>
      </c>
      <c r="G540" s="15">
        <f>Parametros!$B$4</f>
        <v>28681</v>
      </c>
      <c r="H540" s="14">
        <f>INDEX(Clientes!$E$4:$E$15,MATCH(B540,Clientes!$A$4:$A$15,0))</f>
        <v>1</v>
      </c>
      <c r="I540" s="15">
        <f t="shared" si="8"/>
        <v>86043</v>
      </c>
    </row>
    <row r="541" spans="1:9" x14ac:dyDescent="0.3">
      <c r="A541" s="13">
        <v>45992</v>
      </c>
      <c r="B541" t="s">
        <v>38</v>
      </c>
      <c r="C541" t="s">
        <v>65</v>
      </c>
      <c r="D541" t="str">
        <f>INDEX(Clientes!$B$4:$B$15,MATCH(B541,Clientes!$A$4:$A$15,0))</f>
        <v>Panadería La Espiga</v>
      </c>
      <c r="E541" t="str">
        <f>INDEX(Catalogo_Servicios!$C$4:$C$24,MATCH(C541,Catalogo_Servicios!$A$4:$A$24,0))</f>
        <v>Declaración mensual de IVA (D-104)</v>
      </c>
      <c r="F541" s="14">
        <v>0.75</v>
      </c>
      <c r="G541" s="15">
        <f>Parametros!$B$4</f>
        <v>28681</v>
      </c>
      <c r="H541" s="14">
        <f>INDEX(Clientes!$E$4:$E$15,MATCH(B541,Clientes!$A$4:$A$15,0))</f>
        <v>1</v>
      </c>
      <c r="I541" s="15">
        <f t="shared" si="8"/>
        <v>21511</v>
      </c>
    </row>
    <row r="542" spans="1:9" x14ac:dyDescent="0.3">
      <c r="A542" s="13">
        <v>45992</v>
      </c>
      <c r="B542" t="s">
        <v>38</v>
      </c>
      <c r="C542" t="s">
        <v>67</v>
      </c>
      <c r="D542" t="str">
        <f>INDEX(Clientes!$B$4:$B$15,MATCH(B542,Clientes!$A$4:$A$15,0))</f>
        <v>Panadería La Espiga</v>
      </c>
      <c r="E542" t="str">
        <f>INDEX(Catalogo_Servicios!$C$4:$C$24,MATCH(C542,Catalogo_Servicios!$A$4:$A$24,0))</f>
        <v>Cálculo de planillas y cargas sociales (CCSS/INS)</v>
      </c>
      <c r="F542" s="14">
        <v>6.5</v>
      </c>
      <c r="G542" s="15">
        <f>Parametros!$B$4</f>
        <v>28681</v>
      </c>
      <c r="H542" s="14">
        <f>INDEX(Clientes!$E$4:$E$15,MATCH(B542,Clientes!$A$4:$A$15,0))</f>
        <v>1</v>
      </c>
      <c r="I542" s="15">
        <f t="shared" si="8"/>
        <v>186427</v>
      </c>
    </row>
    <row r="543" spans="1:9" x14ac:dyDescent="0.3">
      <c r="A543" s="13">
        <v>45992</v>
      </c>
      <c r="B543" t="s">
        <v>38</v>
      </c>
      <c r="C543" t="s">
        <v>69</v>
      </c>
      <c r="D543" t="str">
        <f>INDEX(Clientes!$B$4:$B$15,MATCH(B543,Clientes!$A$4:$A$15,0))</f>
        <v>Panadería La Espiga</v>
      </c>
      <c r="E543" t="str">
        <f>INDEX(Catalogo_Servicios!$C$4:$C$24,MATCH(C543,Catalogo_Servicios!$A$4:$A$24,0))</f>
        <v>Declaración anual de renta (D-101 / D-105)</v>
      </c>
      <c r="F543" s="14">
        <v>1.75</v>
      </c>
      <c r="G543" s="15">
        <f>Parametros!$B$4</f>
        <v>28681</v>
      </c>
      <c r="H543" s="14">
        <f>INDEX(Clientes!$E$4:$E$15,MATCH(B543,Clientes!$A$4:$A$15,0))</f>
        <v>1</v>
      </c>
      <c r="I543" s="15">
        <f t="shared" si="8"/>
        <v>50192</v>
      </c>
    </row>
    <row r="544" spans="1:9" x14ac:dyDescent="0.3">
      <c r="A544" s="13">
        <v>46023</v>
      </c>
      <c r="B544" t="s">
        <v>29</v>
      </c>
      <c r="C544" t="s">
        <v>64</v>
      </c>
      <c r="D544" t="str">
        <f>INDEX(Clientes!$B$4:$B$15,MATCH(B544,Clientes!$A$4:$A$15,0))</f>
        <v>Distribuidora Los Andes S.A.</v>
      </c>
      <c r="E544" t="str">
        <f>INDEX(Catalogo_Servicios!$C$4:$C$24,MATCH(C544,Catalogo_Servicios!$A$4:$A$24,0))</f>
        <v>Estados financieros mensuales</v>
      </c>
      <c r="F544" s="14">
        <v>3</v>
      </c>
      <c r="G544" s="15">
        <f>Parametros!$B$4</f>
        <v>28681</v>
      </c>
      <c r="H544" s="14">
        <f>INDEX(Clientes!$E$4:$E$15,MATCH(B544,Clientes!$A$4:$A$15,0))</f>
        <v>1</v>
      </c>
      <c r="I544" s="15">
        <f t="shared" si="8"/>
        <v>86043</v>
      </c>
    </row>
    <row r="545" spans="1:9" x14ac:dyDescent="0.3">
      <c r="A545" s="13">
        <v>46023</v>
      </c>
      <c r="B545" t="s">
        <v>29</v>
      </c>
      <c r="C545" t="s">
        <v>65</v>
      </c>
      <c r="D545" t="str">
        <f>INDEX(Clientes!$B$4:$B$15,MATCH(B545,Clientes!$A$4:$A$15,0))</f>
        <v>Distribuidora Los Andes S.A.</v>
      </c>
      <c r="E545" t="str">
        <f>INDEX(Catalogo_Servicios!$C$4:$C$24,MATCH(C545,Catalogo_Servicios!$A$4:$A$24,0))</f>
        <v>Declaración mensual de IVA (D-104)</v>
      </c>
      <c r="F545" s="14">
        <v>0.75</v>
      </c>
      <c r="G545" s="15">
        <f>Parametros!$B$4</f>
        <v>28681</v>
      </c>
      <c r="H545" s="14">
        <f>INDEX(Clientes!$E$4:$E$15,MATCH(B545,Clientes!$A$4:$A$15,0))</f>
        <v>1</v>
      </c>
      <c r="I545" s="15">
        <f t="shared" si="8"/>
        <v>21511</v>
      </c>
    </row>
    <row r="546" spans="1:9" x14ac:dyDescent="0.3">
      <c r="A546" s="13">
        <v>46023</v>
      </c>
      <c r="B546" t="s">
        <v>29</v>
      </c>
      <c r="C546" t="s">
        <v>66</v>
      </c>
      <c r="D546" t="str">
        <f>INDEX(Clientes!$B$4:$B$15,MATCH(B546,Clientes!$A$4:$A$15,0))</f>
        <v>Distribuidora Los Andes S.A.</v>
      </c>
      <c r="E546" t="str">
        <f>INDEX(Catalogo_Servicios!$C$4:$C$24,MATCH(C546,Catalogo_Servicios!$A$4:$A$24,0))</f>
        <v>Declaración mensual de retenciones (D-103)</v>
      </c>
      <c r="F546" s="14">
        <v>0.25</v>
      </c>
      <c r="G546" s="15">
        <f>Parametros!$B$4</f>
        <v>28681</v>
      </c>
      <c r="H546" s="14">
        <f>INDEX(Clientes!$E$4:$E$15,MATCH(B546,Clientes!$A$4:$A$15,0))</f>
        <v>1</v>
      </c>
      <c r="I546" s="15">
        <f t="shared" si="8"/>
        <v>7170</v>
      </c>
    </row>
    <row r="547" spans="1:9" x14ac:dyDescent="0.3">
      <c r="A547" s="13">
        <v>46023</v>
      </c>
      <c r="B547" t="s">
        <v>29</v>
      </c>
      <c r="C547" t="s">
        <v>67</v>
      </c>
      <c r="D547" t="str">
        <f>INDEX(Clientes!$B$4:$B$15,MATCH(B547,Clientes!$A$4:$A$15,0))</f>
        <v>Distribuidora Los Andes S.A.</v>
      </c>
      <c r="E547" t="str">
        <f>INDEX(Catalogo_Servicios!$C$4:$C$24,MATCH(C547,Catalogo_Servicios!$A$4:$A$24,0))</f>
        <v>Cálculo de planillas y cargas sociales (CCSS/INS)</v>
      </c>
      <c r="F547" s="14">
        <v>22.5</v>
      </c>
      <c r="G547" s="15">
        <f>Parametros!$B$4</f>
        <v>28681</v>
      </c>
      <c r="H547" s="14">
        <f>INDEX(Clientes!$E$4:$E$15,MATCH(B547,Clientes!$A$4:$A$15,0))</f>
        <v>1</v>
      </c>
      <c r="I547" s="15">
        <f t="shared" si="8"/>
        <v>645323</v>
      </c>
    </row>
    <row r="548" spans="1:9" x14ac:dyDescent="0.3">
      <c r="A548" s="13">
        <v>46023</v>
      </c>
      <c r="B548" t="s">
        <v>29</v>
      </c>
      <c r="C548" t="s">
        <v>71</v>
      </c>
      <c r="D548" t="str">
        <f>INDEX(Clientes!$B$4:$B$15,MATCH(B548,Clientes!$A$4:$A$15,0))</f>
        <v>Distribuidora Los Andes S.A.</v>
      </c>
      <c r="E548" t="str">
        <f>INDEX(Catalogo_Servicios!$C$4:$C$24,MATCH(C548,Catalogo_Servicios!$A$4:$A$24,0))</f>
        <v>Conciliación anual de planillas (INS/CCSS)</v>
      </c>
      <c r="F548" s="14">
        <v>2</v>
      </c>
      <c r="G548" s="15">
        <f>Parametros!$B$4</f>
        <v>28681</v>
      </c>
      <c r="H548" s="14">
        <f>INDEX(Clientes!$E$4:$E$15,MATCH(B548,Clientes!$A$4:$A$15,0))</f>
        <v>1</v>
      </c>
      <c r="I548" s="15">
        <f t="shared" si="8"/>
        <v>57362</v>
      </c>
    </row>
    <row r="549" spans="1:9" x14ac:dyDescent="0.3">
      <c r="A549" s="13">
        <v>46023</v>
      </c>
      <c r="B549" t="s">
        <v>30</v>
      </c>
      <c r="C549" t="s">
        <v>64</v>
      </c>
      <c r="D549" t="str">
        <f>INDEX(Clientes!$B$4:$B$15,MATCH(B549,Clientes!$A$4:$A$15,0))</f>
        <v>Ferretería El Tornillo</v>
      </c>
      <c r="E549" t="str">
        <f>INDEX(Catalogo_Servicios!$C$4:$C$24,MATCH(C549,Catalogo_Servicios!$A$4:$A$24,0))</f>
        <v>Estados financieros mensuales</v>
      </c>
      <c r="F549" s="14">
        <v>3</v>
      </c>
      <c r="G549" s="15">
        <f>Parametros!$B$4</f>
        <v>28681</v>
      </c>
      <c r="H549" s="14">
        <f>INDEX(Clientes!$E$4:$E$15,MATCH(B549,Clientes!$A$4:$A$15,0))</f>
        <v>1</v>
      </c>
      <c r="I549" s="15">
        <f t="shared" si="8"/>
        <v>86043</v>
      </c>
    </row>
    <row r="550" spans="1:9" x14ac:dyDescent="0.3">
      <c r="A550" s="13">
        <v>46023</v>
      </c>
      <c r="B550" t="s">
        <v>30</v>
      </c>
      <c r="C550" t="s">
        <v>65</v>
      </c>
      <c r="D550" t="str">
        <f>INDEX(Clientes!$B$4:$B$15,MATCH(B550,Clientes!$A$4:$A$15,0))</f>
        <v>Ferretería El Tornillo</v>
      </c>
      <c r="E550" t="str">
        <f>INDEX(Catalogo_Servicios!$C$4:$C$24,MATCH(C550,Catalogo_Servicios!$A$4:$A$24,0))</f>
        <v>Declaración mensual de IVA (D-104)</v>
      </c>
      <c r="F550" s="14">
        <v>0.75</v>
      </c>
      <c r="G550" s="15">
        <f>Parametros!$B$4</f>
        <v>28681</v>
      </c>
      <c r="H550" s="14">
        <f>INDEX(Clientes!$E$4:$E$15,MATCH(B550,Clientes!$A$4:$A$15,0))</f>
        <v>1</v>
      </c>
      <c r="I550" s="15">
        <f t="shared" si="8"/>
        <v>21511</v>
      </c>
    </row>
    <row r="551" spans="1:9" x14ac:dyDescent="0.3">
      <c r="A551" s="13">
        <v>46023</v>
      </c>
      <c r="B551" t="s">
        <v>30</v>
      </c>
      <c r="C551" t="s">
        <v>66</v>
      </c>
      <c r="D551" t="str">
        <f>INDEX(Clientes!$B$4:$B$15,MATCH(B551,Clientes!$A$4:$A$15,0))</f>
        <v>Ferretería El Tornillo</v>
      </c>
      <c r="E551" t="str">
        <f>INDEX(Catalogo_Servicios!$C$4:$C$24,MATCH(C551,Catalogo_Servicios!$A$4:$A$24,0))</f>
        <v>Declaración mensual de retenciones (D-103)</v>
      </c>
      <c r="F551" s="14">
        <v>0.25</v>
      </c>
      <c r="G551" s="15">
        <f>Parametros!$B$4</f>
        <v>28681</v>
      </c>
      <c r="H551" s="14">
        <f>INDEX(Clientes!$E$4:$E$15,MATCH(B551,Clientes!$A$4:$A$15,0))</f>
        <v>1</v>
      </c>
      <c r="I551" s="15">
        <f t="shared" si="8"/>
        <v>7170</v>
      </c>
    </row>
    <row r="552" spans="1:9" x14ac:dyDescent="0.3">
      <c r="A552" s="13">
        <v>46023</v>
      </c>
      <c r="B552" t="s">
        <v>31</v>
      </c>
      <c r="C552" t="s">
        <v>65</v>
      </c>
      <c r="D552" t="str">
        <f>INDEX(Clientes!$B$4:$B$15,MATCH(B552,Clientes!$A$4:$A$15,0))</f>
        <v>Clínica Dental Sonrisa</v>
      </c>
      <c r="E552" t="str">
        <f>INDEX(Catalogo_Servicios!$C$4:$C$24,MATCH(C552,Catalogo_Servicios!$A$4:$A$24,0))</f>
        <v>Declaración mensual de IVA (D-104)</v>
      </c>
      <c r="F552" s="14">
        <v>1</v>
      </c>
      <c r="G552" s="15">
        <f>Parametros!$B$4</f>
        <v>28681</v>
      </c>
      <c r="H552" s="14">
        <f>INDEX(Clientes!$E$4:$E$15,MATCH(B552,Clientes!$A$4:$A$15,0))</f>
        <v>1.1000000000000001</v>
      </c>
      <c r="I552" s="15">
        <f t="shared" si="8"/>
        <v>31549</v>
      </c>
    </row>
    <row r="553" spans="1:9" x14ac:dyDescent="0.3">
      <c r="A553" s="13">
        <v>46023</v>
      </c>
      <c r="B553" t="s">
        <v>32</v>
      </c>
      <c r="C553" t="s">
        <v>65</v>
      </c>
      <c r="D553" t="str">
        <f>INDEX(Clientes!$B$4:$B$15,MATCH(B553,Clientes!$A$4:$A$15,0))</f>
        <v>Soda y Restaurante Doña Lela</v>
      </c>
      <c r="E553" t="str">
        <f>INDEX(Catalogo_Servicios!$C$4:$C$24,MATCH(C553,Catalogo_Servicios!$A$4:$A$24,0))</f>
        <v>Declaración mensual de IVA (D-104)</v>
      </c>
      <c r="F553" s="14">
        <v>0.75</v>
      </c>
      <c r="G553" s="15">
        <f>Parametros!$B$4</f>
        <v>28681</v>
      </c>
      <c r="H553" s="14">
        <f>INDEX(Clientes!$E$4:$E$15,MATCH(B553,Clientes!$A$4:$A$15,0))</f>
        <v>1</v>
      </c>
      <c r="I553" s="15">
        <f t="shared" si="8"/>
        <v>21511</v>
      </c>
    </row>
    <row r="554" spans="1:9" x14ac:dyDescent="0.3">
      <c r="A554" s="13">
        <v>46023</v>
      </c>
      <c r="B554" t="s">
        <v>33</v>
      </c>
      <c r="C554" t="s">
        <v>65</v>
      </c>
      <c r="D554" t="str">
        <f>INDEX(Clientes!$B$4:$B$15,MATCH(B554,Clientes!$A$4:$A$15,0))</f>
        <v>Transportes Rápidos del Valle</v>
      </c>
      <c r="E554" t="str">
        <f>INDEX(Catalogo_Servicios!$C$4:$C$24,MATCH(C554,Catalogo_Servicios!$A$4:$A$24,0))</f>
        <v>Declaración mensual de IVA (D-104)</v>
      </c>
      <c r="F554" s="14">
        <v>1</v>
      </c>
      <c r="G554" s="15">
        <f>Parametros!$B$4</f>
        <v>28681</v>
      </c>
      <c r="H554" s="14">
        <f>INDEX(Clientes!$E$4:$E$15,MATCH(B554,Clientes!$A$4:$A$15,0))</f>
        <v>1</v>
      </c>
      <c r="I554" s="15">
        <f t="shared" si="8"/>
        <v>28681</v>
      </c>
    </row>
    <row r="555" spans="1:9" x14ac:dyDescent="0.3">
      <c r="A555" s="13">
        <v>46023</v>
      </c>
      <c r="B555" t="s">
        <v>33</v>
      </c>
      <c r="C555" t="s">
        <v>66</v>
      </c>
      <c r="D555" t="str">
        <f>INDEX(Clientes!$B$4:$B$15,MATCH(B555,Clientes!$A$4:$A$15,0))</f>
        <v>Transportes Rápidos del Valle</v>
      </c>
      <c r="E555" t="str">
        <f>INDEX(Catalogo_Servicios!$C$4:$C$24,MATCH(C555,Catalogo_Servicios!$A$4:$A$24,0))</f>
        <v>Declaración mensual de retenciones (D-103)</v>
      </c>
      <c r="F555" s="14">
        <v>0.25</v>
      </c>
      <c r="G555" s="15">
        <f>Parametros!$B$4</f>
        <v>28681</v>
      </c>
      <c r="H555" s="14">
        <f>INDEX(Clientes!$E$4:$E$15,MATCH(B555,Clientes!$A$4:$A$15,0))</f>
        <v>1</v>
      </c>
      <c r="I555" s="15">
        <f t="shared" si="8"/>
        <v>7170</v>
      </c>
    </row>
    <row r="556" spans="1:9" x14ac:dyDescent="0.3">
      <c r="A556" s="13">
        <v>46023</v>
      </c>
      <c r="B556" t="s">
        <v>33</v>
      </c>
      <c r="C556" t="s">
        <v>67</v>
      </c>
      <c r="D556" t="str">
        <f>INDEX(Clientes!$B$4:$B$15,MATCH(B556,Clientes!$A$4:$A$15,0))</f>
        <v>Transportes Rápidos del Valle</v>
      </c>
      <c r="E556" t="str">
        <f>INDEX(Catalogo_Servicios!$C$4:$C$24,MATCH(C556,Catalogo_Servicios!$A$4:$A$24,0))</f>
        <v>Cálculo de planillas y cargas sociales (CCSS/INS)</v>
      </c>
      <c r="F556" s="14">
        <v>6</v>
      </c>
      <c r="G556" s="15">
        <f>Parametros!$B$4</f>
        <v>28681</v>
      </c>
      <c r="H556" s="14">
        <f>INDEX(Clientes!$E$4:$E$15,MATCH(B556,Clientes!$A$4:$A$15,0))</f>
        <v>1</v>
      </c>
      <c r="I556" s="15">
        <f t="shared" si="8"/>
        <v>172086</v>
      </c>
    </row>
    <row r="557" spans="1:9" x14ac:dyDescent="0.3">
      <c r="A557" s="13">
        <v>46023</v>
      </c>
      <c r="B557" t="s">
        <v>33</v>
      </c>
      <c r="C557" t="s">
        <v>70</v>
      </c>
      <c r="D557" t="str">
        <f>INDEX(Clientes!$B$4:$B$15,MATCH(B557,Clientes!$A$4:$A$15,0))</f>
        <v>Transportes Rápidos del Valle</v>
      </c>
      <c r="E557" t="str">
        <f>INDEX(Catalogo_Servicios!$C$4:$C$24,MATCH(C557,Catalogo_Servicios!$A$4:$A$24,0))</f>
        <v>Estados financieros anuales / cierre fiscal</v>
      </c>
      <c r="F557" s="14">
        <v>6</v>
      </c>
      <c r="G557" s="15">
        <f>Parametros!$B$4</f>
        <v>28681</v>
      </c>
      <c r="H557" s="14">
        <f>INDEX(Clientes!$E$4:$E$15,MATCH(B557,Clientes!$A$4:$A$15,0))</f>
        <v>1</v>
      </c>
      <c r="I557" s="15">
        <f t="shared" si="8"/>
        <v>172086</v>
      </c>
    </row>
    <row r="558" spans="1:9" x14ac:dyDescent="0.3">
      <c r="A558" s="13">
        <v>46023</v>
      </c>
      <c r="B558" t="s">
        <v>33</v>
      </c>
      <c r="C558" t="s">
        <v>71</v>
      </c>
      <c r="D558" t="str">
        <f>INDEX(Clientes!$B$4:$B$15,MATCH(B558,Clientes!$A$4:$A$15,0))</f>
        <v>Transportes Rápidos del Valle</v>
      </c>
      <c r="E558" t="str">
        <f>INDEX(Catalogo_Servicios!$C$4:$C$24,MATCH(C558,Catalogo_Servicios!$A$4:$A$24,0))</f>
        <v>Conciliación anual de planillas (INS/CCSS)</v>
      </c>
      <c r="F558" s="14">
        <v>2</v>
      </c>
      <c r="G558" s="15">
        <f>Parametros!$B$4</f>
        <v>28681</v>
      </c>
      <c r="H558" s="14">
        <f>INDEX(Clientes!$E$4:$E$15,MATCH(B558,Clientes!$A$4:$A$15,0))</f>
        <v>1</v>
      </c>
      <c r="I558" s="15">
        <f t="shared" si="8"/>
        <v>57362</v>
      </c>
    </row>
    <row r="559" spans="1:9" x14ac:dyDescent="0.3">
      <c r="A559" s="13">
        <v>46023</v>
      </c>
      <c r="B559" t="s">
        <v>35</v>
      </c>
      <c r="C559" t="s">
        <v>65</v>
      </c>
      <c r="D559" t="str">
        <f>INDEX(Clientes!$B$4:$B$15,MATCH(B559,Clientes!$A$4:$A$15,0))</f>
        <v>Taller Mecánico Hermanos Mora</v>
      </c>
      <c r="E559" t="str">
        <f>INDEX(Catalogo_Servicios!$C$4:$C$24,MATCH(C559,Catalogo_Servicios!$A$4:$A$24,0))</f>
        <v>Declaración mensual de IVA (D-104)</v>
      </c>
      <c r="F559" s="14">
        <v>0.75</v>
      </c>
      <c r="G559" s="15">
        <f>Parametros!$B$4</f>
        <v>28681</v>
      </c>
      <c r="H559" s="14">
        <f>INDEX(Clientes!$E$4:$E$15,MATCH(B559,Clientes!$A$4:$A$15,0))</f>
        <v>1</v>
      </c>
      <c r="I559" s="15">
        <f t="shared" si="8"/>
        <v>21511</v>
      </c>
    </row>
    <row r="560" spans="1:9" x14ac:dyDescent="0.3">
      <c r="A560" s="13">
        <v>46023</v>
      </c>
      <c r="B560" t="s">
        <v>36</v>
      </c>
      <c r="C560" t="s">
        <v>65</v>
      </c>
      <c r="D560" t="str">
        <f>INDEX(Clientes!$B$4:$B$15,MATCH(B560,Clientes!$A$4:$A$15,0))</f>
        <v>Agroservicios Cartago</v>
      </c>
      <c r="E560" t="str">
        <f>INDEX(Catalogo_Servicios!$C$4:$C$24,MATCH(C560,Catalogo_Servicios!$A$4:$A$24,0))</f>
        <v>Declaración mensual de IVA (D-104)</v>
      </c>
      <c r="F560" s="14">
        <v>1</v>
      </c>
      <c r="G560" s="15">
        <f>Parametros!$B$4</f>
        <v>28681</v>
      </c>
      <c r="H560" s="14">
        <f>INDEX(Clientes!$E$4:$E$15,MATCH(B560,Clientes!$A$4:$A$15,0))</f>
        <v>1</v>
      </c>
      <c r="I560" s="15">
        <f t="shared" si="8"/>
        <v>28681</v>
      </c>
    </row>
    <row r="561" spans="1:9" x14ac:dyDescent="0.3">
      <c r="A561" s="13">
        <v>46023</v>
      </c>
      <c r="B561" t="s">
        <v>36</v>
      </c>
      <c r="C561" t="s">
        <v>66</v>
      </c>
      <c r="D561" t="str">
        <f>INDEX(Clientes!$B$4:$B$15,MATCH(B561,Clientes!$A$4:$A$15,0))</f>
        <v>Agroservicios Cartago</v>
      </c>
      <c r="E561" t="str">
        <f>INDEX(Catalogo_Servicios!$C$4:$C$24,MATCH(C561,Catalogo_Servicios!$A$4:$A$24,0))</f>
        <v>Declaración mensual de retenciones (D-103)</v>
      </c>
      <c r="F561" s="14">
        <v>0.25</v>
      </c>
      <c r="G561" s="15">
        <f>Parametros!$B$4</f>
        <v>28681</v>
      </c>
      <c r="H561" s="14">
        <f>INDEX(Clientes!$E$4:$E$15,MATCH(B561,Clientes!$A$4:$A$15,0))</f>
        <v>1</v>
      </c>
      <c r="I561" s="15">
        <f t="shared" si="8"/>
        <v>7170</v>
      </c>
    </row>
    <row r="562" spans="1:9" x14ac:dyDescent="0.3">
      <c r="A562" s="13">
        <v>46023</v>
      </c>
      <c r="B562" t="s">
        <v>38</v>
      </c>
      <c r="C562" t="s">
        <v>65</v>
      </c>
      <c r="D562" t="str">
        <f>INDEX(Clientes!$B$4:$B$15,MATCH(B562,Clientes!$A$4:$A$15,0))</f>
        <v>Panadería La Espiga</v>
      </c>
      <c r="E562" t="str">
        <f>INDEX(Catalogo_Servicios!$C$4:$C$24,MATCH(C562,Catalogo_Servicios!$A$4:$A$24,0))</f>
        <v>Declaración mensual de IVA (D-104)</v>
      </c>
      <c r="F562" s="14">
        <v>1</v>
      </c>
      <c r="G562" s="15">
        <f>Parametros!$B$4</f>
        <v>28681</v>
      </c>
      <c r="H562" s="14">
        <f>INDEX(Clientes!$E$4:$E$15,MATCH(B562,Clientes!$A$4:$A$15,0))</f>
        <v>1</v>
      </c>
      <c r="I562" s="15">
        <f t="shared" si="8"/>
        <v>28681</v>
      </c>
    </row>
    <row r="563" spans="1:9" x14ac:dyDescent="0.3">
      <c r="A563" s="13">
        <v>46023</v>
      </c>
      <c r="B563" t="s">
        <v>38</v>
      </c>
      <c r="C563" t="s">
        <v>67</v>
      </c>
      <c r="D563" t="str">
        <f>INDEX(Clientes!$B$4:$B$15,MATCH(B563,Clientes!$A$4:$A$15,0))</f>
        <v>Panadería La Espiga</v>
      </c>
      <c r="E563" t="str">
        <f>INDEX(Catalogo_Servicios!$C$4:$C$24,MATCH(C563,Catalogo_Servicios!$A$4:$A$24,0))</f>
        <v>Cálculo de planillas y cargas sociales (CCSS/INS)</v>
      </c>
      <c r="F563" s="14">
        <v>6.5</v>
      </c>
      <c r="G563" s="15">
        <f>Parametros!$B$4</f>
        <v>28681</v>
      </c>
      <c r="H563" s="14">
        <f>INDEX(Clientes!$E$4:$E$15,MATCH(B563,Clientes!$A$4:$A$15,0))</f>
        <v>1</v>
      </c>
      <c r="I563" s="15">
        <f t="shared" si="8"/>
        <v>186427</v>
      </c>
    </row>
    <row r="564" spans="1:9" x14ac:dyDescent="0.3">
      <c r="A564" s="13">
        <v>46023</v>
      </c>
      <c r="B564" t="s">
        <v>38</v>
      </c>
      <c r="C564" t="s">
        <v>71</v>
      </c>
      <c r="D564" t="str">
        <f>INDEX(Clientes!$B$4:$B$15,MATCH(B564,Clientes!$A$4:$A$15,0))</f>
        <v>Panadería La Espiga</v>
      </c>
      <c r="E564" t="str">
        <f>INDEX(Catalogo_Servicios!$C$4:$C$24,MATCH(C564,Catalogo_Servicios!$A$4:$A$24,0))</f>
        <v>Conciliación anual de planillas (INS/CCSS)</v>
      </c>
      <c r="F564" s="14">
        <v>2</v>
      </c>
      <c r="G564" s="15">
        <f>Parametros!$B$4</f>
        <v>28681</v>
      </c>
      <c r="H564" s="14">
        <f>INDEX(Clientes!$E$4:$E$15,MATCH(B564,Clientes!$A$4:$A$15,0))</f>
        <v>1</v>
      </c>
      <c r="I564" s="15">
        <f t="shared" si="8"/>
        <v>57362</v>
      </c>
    </row>
    <row r="565" spans="1:9" x14ac:dyDescent="0.3">
      <c r="A565" s="13">
        <v>46054</v>
      </c>
      <c r="B565" t="s">
        <v>29</v>
      </c>
      <c r="C565" t="s">
        <v>64</v>
      </c>
      <c r="D565" t="str">
        <f>INDEX(Clientes!$B$4:$B$15,MATCH(B565,Clientes!$A$4:$A$15,0))</f>
        <v>Distribuidora Los Andes S.A.</v>
      </c>
      <c r="E565" t="str">
        <f>INDEX(Catalogo_Servicios!$C$4:$C$24,MATCH(C565,Catalogo_Servicios!$A$4:$A$24,0))</f>
        <v>Estados financieros mensuales</v>
      </c>
      <c r="F565" s="14">
        <v>3</v>
      </c>
      <c r="G565" s="15">
        <f>Parametros!$B$4</f>
        <v>28681</v>
      </c>
      <c r="H565" s="14">
        <f>INDEX(Clientes!$E$4:$E$15,MATCH(B565,Clientes!$A$4:$A$15,0))</f>
        <v>1</v>
      </c>
      <c r="I565" s="15">
        <f t="shared" si="8"/>
        <v>86043</v>
      </c>
    </row>
    <row r="566" spans="1:9" x14ac:dyDescent="0.3">
      <c r="A566" s="13">
        <v>46054</v>
      </c>
      <c r="B566" t="s">
        <v>29</v>
      </c>
      <c r="C566" t="s">
        <v>65</v>
      </c>
      <c r="D566" t="str">
        <f>INDEX(Clientes!$B$4:$B$15,MATCH(B566,Clientes!$A$4:$A$15,0))</f>
        <v>Distribuidora Los Andes S.A.</v>
      </c>
      <c r="E566" t="str">
        <f>INDEX(Catalogo_Servicios!$C$4:$C$24,MATCH(C566,Catalogo_Servicios!$A$4:$A$24,0))</f>
        <v>Declaración mensual de IVA (D-104)</v>
      </c>
      <c r="F566" s="14">
        <v>0.75</v>
      </c>
      <c r="G566" s="15">
        <f>Parametros!$B$4</f>
        <v>28681</v>
      </c>
      <c r="H566" s="14">
        <f>INDEX(Clientes!$E$4:$E$15,MATCH(B566,Clientes!$A$4:$A$15,0))</f>
        <v>1</v>
      </c>
      <c r="I566" s="15">
        <f t="shared" si="8"/>
        <v>21511</v>
      </c>
    </row>
    <row r="567" spans="1:9" x14ac:dyDescent="0.3">
      <c r="A567" s="13">
        <v>46054</v>
      </c>
      <c r="B567" t="s">
        <v>29</v>
      </c>
      <c r="C567" t="s">
        <v>66</v>
      </c>
      <c r="D567" t="str">
        <f>INDEX(Clientes!$B$4:$B$15,MATCH(B567,Clientes!$A$4:$A$15,0))</f>
        <v>Distribuidora Los Andes S.A.</v>
      </c>
      <c r="E567" t="str">
        <f>INDEX(Catalogo_Servicios!$C$4:$C$24,MATCH(C567,Catalogo_Servicios!$A$4:$A$24,0))</f>
        <v>Declaración mensual de retenciones (D-103)</v>
      </c>
      <c r="F567" s="14">
        <v>0.25</v>
      </c>
      <c r="G567" s="15">
        <f>Parametros!$B$4</f>
        <v>28681</v>
      </c>
      <c r="H567" s="14">
        <f>INDEX(Clientes!$E$4:$E$15,MATCH(B567,Clientes!$A$4:$A$15,0))</f>
        <v>1</v>
      </c>
      <c r="I567" s="15">
        <f t="shared" si="8"/>
        <v>7170</v>
      </c>
    </row>
    <row r="568" spans="1:9" x14ac:dyDescent="0.3">
      <c r="A568" s="13">
        <v>46054</v>
      </c>
      <c r="B568" t="s">
        <v>29</v>
      </c>
      <c r="C568" t="s">
        <v>67</v>
      </c>
      <c r="D568" t="str">
        <f>INDEX(Clientes!$B$4:$B$15,MATCH(B568,Clientes!$A$4:$A$15,0))</f>
        <v>Distribuidora Los Andes S.A.</v>
      </c>
      <c r="E568" t="str">
        <f>INDEX(Catalogo_Servicios!$C$4:$C$24,MATCH(C568,Catalogo_Servicios!$A$4:$A$24,0))</f>
        <v>Cálculo de planillas y cargas sociales (CCSS/INS)</v>
      </c>
      <c r="F568" s="14">
        <v>24</v>
      </c>
      <c r="G568" s="15">
        <f>Parametros!$B$4</f>
        <v>28681</v>
      </c>
      <c r="H568" s="14">
        <f>INDEX(Clientes!$E$4:$E$15,MATCH(B568,Clientes!$A$4:$A$15,0))</f>
        <v>1</v>
      </c>
      <c r="I568" s="15">
        <f t="shared" si="8"/>
        <v>688344</v>
      </c>
    </row>
    <row r="569" spans="1:9" x14ac:dyDescent="0.3">
      <c r="A569" s="13">
        <v>46054</v>
      </c>
      <c r="B569" t="s">
        <v>29</v>
      </c>
      <c r="C569" t="s">
        <v>72</v>
      </c>
      <c r="D569" t="str">
        <f>INDEX(Clientes!$B$4:$B$15,MATCH(B569,Clientes!$A$4:$A$15,0))</f>
        <v>Distribuidora Los Andes S.A.</v>
      </c>
      <c r="E569" t="str">
        <f>INDEX(Catalogo_Servicios!$C$4:$C$24,MATCH(C569,Catalogo_Servicios!$A$4:$A$24,0))</f>
        <v>Declaración informativa anual (D-151)</v>
      </c>
      <c r="F569" s="14">
        <v>0.5</v>
      </c>
      <c r="G569" s="15">
        <f>Parametros!$B$4</f>
        <v>28681</v>
      </c>
      <c r="H569" s="14">
        <f>INDEX(Clientes!$E$4:$E$15,MATCH(B569,Clientes!$A$4:$A$15,0))</f>
        <v>1</v>
      </c>
      <c r="I569" s="15">
        <f t="shared" si="8"/>
        <v>14341</v>
      </c>
    </row>
    <row r="570" spans="1:9" x14ac:dyDescent="0.3">
      <c r="A570" s="13">
        <v>46054</v>
      </c>
      <c r="B570" t="s">
        <v>30</v>
      </c>
      <c r="C570" t="s">
        <v>64</v>
      </c>
      <c r="D570" t="str">
        <f>INDEX(Clientes!$B$4:$B$15,MATCH(B570,Clientes!$A$4:$A$15,0))</f>
        <v>Ferretería El Tornillo</v>
      </c>
      <c r="E570" t="str">
        <f>INDEX(Catalogo_Servicios!$C$4:$C$24,MATCH(C570,Catalogo_Servicios!$A$4:$A$24,0))</f>
        <v>Estados financieros mensuales</v>
      </c>
      <c r="F570" s="14">
        <v>3.25</v>
      </c>
      <c r="G570" s="15">
        <f>Parametros!$B$4</f>
        <v>28681</v>
      </c>
      <c r="H570" s="14">
        <f>INDEX(Clientes!$E$4:$E$15,MATCH(B570,Clientes!$A$4:$A$15,0))</f>
        <v>1</v>
      </c>
      <c r="I570" s="15">
        <f t="shared" si="8"/>
        <v>93213</v>
      </c>
    </row>
    <row r="571" spans="1:9" x14ac:dyDescent="0.3">
      <c r="A571" s="13">
        <v>46054</v>
      </c>
      <c r="B571" t="s">
        <v>30</v>
      </c>
      <c r="C571" t="s">
        <v>65</v>
      </c>
      <c r="D571" t="str">
        <f>INDEX(Clientes!$B$4:$B$15,MATCH(B571,Clientes!$A$4:$A$15,0))</f>
        <v>Ferretería El Tornillo</v>
      </c>
      <c r="E571" t="str">
        <f>INDEX(Catalogo_Servicios!$C$4:$C$24,MATCH(C571,Catalogo_Servicios!$A$4:$A$24,0))</f>
        <v>Declaración mensual de IVA (D-104)</v>
      </c>
      <c r="F571" s="14">
        <v>0.75</v>
      </c>
      <c r="G571" s="15">
        <f>Parametros!$B$4</f>
        <v>28681</v>
      </c>
      <c r="H571" s="14">
        <f>INDEX(Clientes!$E$4:$E$15,MATCH(B571,Clientes!$A$4:$A$15,0))</f>
        <v>1</v>
      </c>
      <c r="I571" s="15">
        <f t="shared" si="8"/>
        <v>21511</v>
      </c>
    </row>
    <row r="572" spans="1:9" x14ac:dyDescent="0.3">
      <c r="A572" s="13">
        <v>46054</v>
      </c>
      <c r="B572" t="s">
        <v>30</v>
      </c>
      <c r="C572" t="s">
        <v>66</v>
      </c>
      <c r="D572" t="str">
        <f>INDEX(Clientes!$B$4:$B$15,MATCH(B572,Clientes!$A$4:$A$15,0))</f>
        <v>Ferretería El Tornillo</v>
      </c>
      <c r="E572" t="str">
        <f>INDEX(Catalogo_Servicios!$C$4:$C$24,MATCH(C572,Catalogo_Servicios!$A$4:$A$24,0))</f>
        <v>Declaración mensual de retenciones (D-103)</v>
      </c>
      <c r="F572" s="14">
        <v>0.25</v>
      </c>
      <c r="G572" s="15">
        <f>Parametros!$B$4</f>
        <v>28681</v>
      </c>
      <c r="H572" s="14">
        <f>INDEX(Clientes!$E$4:$E$15,MATCH(B572,Clientes!$A$4:$A$15,0))</f>
        <v>1</v>
      </c>
      <c r="I572" s="15">
        <f t="shared" si="8"/>
        <v>7170</v>
      </c>
    </row>
    <row r="573" spans="1:9" x14ac:dyDescent="0.3">
      <c r="A573" s="13">
        <v>46054</v>
      </c>
      <c r="B573" t="s">
        <v>30</v>
      </c>
      <c r="C573" t="s">
        <v>72</v>
      </c>
      <c r="D573" t="str">
        <f>INDEX(Clientes!$B$4:$B$15,MATCH(B573,Clientes!$A$4:$A$15,0))</f>
        <v>Ferretería El Tornillo</v>
      </c>
      <c r="E573" t="str">
        <f>INDEX(Catalogo_Servicios!$C$4:$C$24,MATCH(C573,Catalogo_Servicios!$A$4:$A$24,0))</f>
        <v>Declaración informativa anual (D-151)</v>
      </c>
      <c r="F573" s="14">
        <v>0.5</v>
      </c>
      <c r="G573" s="15">
        <f>Parametros!$B$4</f>
        <v>28681</v>
      </c>
      <c r="H573" s="14">
        <f>INDEX(Clientes!$E$4:$E$15,MATCH(B573,Clientes!$A$4:$A$15,0))</f>
        <v>1</v>
      </c>
      <c r="I573" s="15">
        <f t="shared" si="8"/>
        <v>14341</v>
      </c>
    </row>
    <row r="574" spans="1:9" x14ac:dyDescent="0.3">
      <c r="A574" s="13">
        <v>46054</v>
      </c>
      <c r="B574" t="s">
        <v>31</v>
      </c>
      <c r="C574" t="s">
        <v>65</v>
      </c>
      <c r="D574" t="str">
        <f>INDEX(Clientes!$B$4:$B$15,MATCH(B574,Clientes!$A$4:$A$15,0))</f>
        <v>Clínica Dental Sonrisa</v>
      </c>
      <c r="E574" t="str">
        <f>INDEX(Catalogo_Servicios!$C$4:$C$24,MATCH(C574,Catalogo_Servicios!$A$4:$A$24,0))</f>
        <v>Declaración mensual de IVA (D-104)</v>
      </c>
      <c r="F574" s="14">
        <v>0.75</v>
      </c>
      <c r="G574" s="15">
        <f>Parametros!$B$4</f>
        <v>28681</v>
      </c>
      <c r="H574" s="14">
        <f>INDEX(Clientes!$E$4:$E$15,MATCH(B574,Clientes!$A$4:$A$15,0))</f>
        <v>1.1000000000000001</v>
      </c>
      <c r="I574" s="15">
        <f t="shared" si="8"/>
        <v>23662</v>
      </c>
    </row>
    <row r="575" spans="1:9" x14ac:dyDescent="0.3">
      <c r="A575" s="13">
        <v>46054</v>
      </c>
      <c r="B575" t="s">
        <v>31</v>
      </c>
      <c r="C575" t="s">
        <v>72</v>
      </c>
      <c r="D575" t="str">
        <f>INDEX(Clientes!$B$4:$B$15,MATCH(B575,Clientes!$A$4:$A$15,0))</f>
        <v>Clínica Dental Sonrisa</v>
      </c>
      <c r="E575" t="str">
        <f>INDEX(Catalogo_Servicios!$C$4:$C$24,MATCH(C575,Catalogo_Servicios!$A$4:$A$24,0))</f>
        <v>Declaración informativa anual (D-151)</v>
      </c>
      <c r="F575" s="14">
        <v>0.5</v>
      </c>
      <c r="G575" s="15">
        <f>Parametros!$B$4</f>
        <v>28681</v>
      </c>
      <c r="H575" s="14">
        <f>INDEX(Clientes!$E$4:$E$15,MATCH(B575,Clientes!$A$4:$A$15,0))</f>
        <v>1.1000000000000001</v>
      </c>
      <c r="I575" s="15">
        <f t="shared" si="8"/>
        <v>15775</v>
      </c>
    </row>
    <row r="576" spans="1:9" x14ac:dyDescent="0.3">
      <c r="A576" s="13">
        <v>46054</v>
      </c>
      <c r="B576" t="s">
        <v>32</v>
      </c>
      <c r="C576" t="s">
        <v>65</v>
      </c>
      <c r="D576" t="str">
        <f>INDEX(Clientes!$B$4:$B$15,MATCH(B576,Clientes!$A$4:$A$15,0))</f>
        <v>Soda y Restaurante Doña Lela</v>
      </c>
      <c r="E576" t="str">
        <f>INDEX(Catalogo_Servicios!$C$4:$C$24,MATCH(C576,Catalogo_Servicios!$A$4:$A$24,0))</f>
        <v>Declaración mensual de IVA (D-104)</v>
      </c>
      <c r="F576" s="14">
        <v>1</v>
      </c>
      <c r="G576" s="15">
        <f>Parametros!$B$4</f>
        <v>28681</v>
      </c>
      <c r="H576" s="14">
        <f>INDEX(Clientes!$E$4:$E$15,MATCH(B576,Clientes!$A$4:$A$15,0))</f>
        <v>1</v>
      </c>
      <c r="I576" s="15">
        <f t="shared" si="8"/>
        <v>28681</v>
      </c>
    </row>
    <row r="577" spans="1:9" x14ac:dyDescent="0.3">
      <c r="A577" s="13">
        <v>46054</v>
      </c>
      <c r="B577" t="s">
        <v>32</v>
      </c>
      <c r="C577" t="s">
        <v>72</v>
      </c>
      <c r="D577" t="str">
        <f>INDEX(Clientes!$B$4:$B$15,MATCH(B577,Clientes!$A$4:$A$15,0))</f>
        <v>Soda y Restaurante Doña Lela</v>
      </c>
      <c r="E577" t="str">
        <f>INDEX(Catalogo_Servicios!$C$4:$C$24,MATCH(C577,Catalogo_Servicios!$A$4:$A$24,0))</f>
        <v>Declaración informativa anual (D-151)</v>
      </c>
      <c r="F577" s="14">
        <v>0.5</v>
      </c>
      <c r="G577" s="15">
        <f>Parametros!$B$4</f>
        <v>28681</v>
      </c>
      <c r="H577" s="14">
        <f>INDEX(Clientes!$E$4:$E$15,MATCH(B577,Clientes!$A$4:$A$15,0))</f>
        <v>1</v>
      </c>
      <c r="I577" s="15">
        <f t="shared" si="8"/>
        <v>14341</v>
      </c>
    </row>
    <row r="578" spans="1:9" x14ac:dyDescent="0.3">
      <c r="A578" s="13">
        <v>46054</v>
      </c>
      <c r="B578" t="s">
        <v>33</v>
      </c>
      <c r="C578" t="s">
        <v>65</v>
      </c>
      <c r="D578" t="str">
        <f>INDEX(Clientes!$B$4:$B$15,MATCH(B578,Clientes!$A$4:$A$15,0))</f>
        <v>Transportes Rápidos del Valle</v>
      </c>
      <c r="E578" t="str">
        <f>INDEX(Catalogo_Servicios!$C$4:$C$24,MATCH(C578,Catalogo_Servicios!$A$4:$A$24,0))</f>
        <v>Declaración mensual de IVA (D-104)</v>
      </c>
      <c r="F578" s="14">
        <v>0.75</v>
      </c>
      <c r="G578" s="15">
        <f>Parametros!$B$4</f>
        <v>28681</v>
      </c>
      <c r="H578" s="14">
        <f>INDEX(Clientes!$E$4:$E$15,MATCH(B578,Clientes!$A$4:$A$15,0))</f>
        <v>1</v>
      </c>
      <c r="I578" s="15">
        <f t="shared" si="8"/>
        <v>21511</v>
      </c>
    </row>
    <row r="579" spans="1:9" x14ac:dyDescent="0.3">
      <c r="A579" s="13">
        <v>46054</v>
      </c>
      <c r="B579" t="s">
        <v>33</v>
      </c>
      <c r="C579" t="s">
        <v>66</v>
      </c>
      <c r="D579" t="str">
        <f>INDEX(Clientes!$B$4:$B$15,MATCH(B579,Clientes!$A$4:$A$15,0))</f>
        <v>Transportes Rápidos del Valle</v>
      </c>
      <c r="E579" t="str">
        <f>INDEX(Catalogo_Servicios!$C$4:$C$24,MATCH(C579,Catalogo_Servicios!$A$4:$A$24,0))</f>
        <v>Declaración mensual de retenciones (D-103)</v>
      </c>
      <c r="F579" s="14">
        <v>0.25</v>
      </c>
      <c r="G579" s="15">
        <f>Parametros!$B$4</f>
        <v>28681</v>
      </c>
      <c r="H579" s="14">
        <f>INDEX(Clientes!$E$4:$E$15,MATCH(B579,Clientes!$A$4:$A$15,0))</f>
        <v>1</v>
      </c>
      <c r="I579" s="15">
        <f t="shared" si="8"/>
        <v>7170</v>
      </c>
    </row>
    <row r="580" spans="1:9" x14ac:dyDescent="0.3">
      <c r="A580" s="13">
        <v>46054</v>
      </c>
      <c r="B580" t="s">
        <v>33</v>
      </c>
      <c r="C580" t="s">
        <v>67</v>
      </c>
      <c r="D580" t="str">
        <f>INDEX(Clientes!$B$4:$B$15,MATCH(B580,Clientes!$A$4:$A$15,0))</f>
        <v>Transportes Rápidos del Valle</v>
      </c>
      <c r="E580" t="str">
        <f>INDEX(Catalogo_Servicios!$C$4:$C$24,MATCH(C580,Catalogo_Servicios!$A$4:$A$24,0))</f>
        <v>Cálculo de planillas y cargas sociales (CCSS/INS)</v>
      </c>
      <c r="F580" s="14">
        <v>6</v>
      </c>
      <c r="G580" s="15">
        <f>Parametros!$B$4</f>
        <v>28681</v>
      </c>
      <c r="H580" s="14">
        <f>INDEX(Clientes!$E$4:$E$15,MATCH(B580,Clientes!$A$4:$A$15,0))</f>
        <v>1</v>
      </c>
      <c r="I580" s="15">
        <f t="shared" ref="I580:I643" si="9">ROUND(F580*G580*H580,0)</f>
        <v>172086</v>
      </c>
    </row>
    <row r="581" spans="1:9" x14ac:dyDescent="0.3">
      <c r="A581" s="13">
        <v>46054</v>
      </c>
      <c r="B581" t="s">
        <v>33</v>
      </c>
      <c r="C581" t="s">
        <v>74</v>
      </c>
      <c r="D581" t="str">
        <f>INDEX(Clientes!$B$4:$B$15,MATCH(B581,Clientes!$A$4:$A$15,0))</f>
        <v>Transportes Rápidos del Valle</v>
      </c>
      <c r="E581" t="str">
        <f>INDEX(Catalogo_Servicios!$C$4:$C$24,MATCH(C581,Catalogo_Servicios!$A$4:$A$24,0))</f>
        <v>Certificación de ingresos y estudios generales</v>
      </c>
      <c r="F581" s="14">
        <v>3</v>
      </c>
      <c r="G581" s="15">
        <f>Parametros!$B$4</f>
        <v>28681</v>
      </c>
      <c r="H581" s="14">
        <f>INDEX(Clientes!$E$4:$E$15,MATCH(B581,Clientes!$A$4:$A$15,0))</f>
        <v>1</v>
      </c>
      <c r="I581" s="15">
        <f t="shared" si="9"/>
        <v>86043</v>
      </c>
    </row>
    <row r="582" spans="1:9" x14ac:dyDescent="0.3">
      <c r="A582" s="13">
        <v>46054</v>
      </c>
      <c r="B582" t="s">
        <v>33</v>
      </c>
      <c r="C582" t="s">
        <v>72</v>
      </c>
      <c r="D582" t="str">
        <f>INDEX(Clientes!$B$4:$B$15,MATCH(B582,Clientes!$A$4:$A$15,0))</f>
        <v>Transportes Rápidos del Valle</v>
      </c>
      <c r="E582" t="str">
        <f>INDEX(Catalogo_Servicios!$C$4:$C$24,MATCH(C582,Catalogo_Servicios!$A$4:$A$24,0))</f>
        <v>Declaración informativa anual (D-151)</v>
      </c>
      <c r="F582" s="14">
        <v>0.5</v>
      </c>
      <c r="G582" s="15">
        <f>Parametros!$B$4</f>
        <v>28681</v>
      </c>
      <c r="H582" s="14">
        <f>INDEX(Clientes!$E$4:$E$15,MATCH(B582,Clientes!$A$4:$A$15,0))</f>
        <v>1</v>
      </c>
      <c r="I582" s="15">
        <f t="shared" si="9"/>
        <v>14341</v>
      </c>
    </row>
    <row r="583" spans="1:9" x14ac:dyDescent="0.3">
      <c r="A583" s="13">
        <v>46054</v>
      </c>
      <c r="B583" t="s">
        <v>35</v>
      </c>
      <c r="C583" t="s">
        <v>65</v>
      </c>
      <c r="D583" t="str">
        <f>INDEX(Clientes!$B$4:$B$15,MATCH(B583,Clientes!$A$4:$A$15,0))</f>
        <v>Taller Mecánico Hermanos Mora</v>
      </c>
      <c r="E583" t="str">
        <f>INDEX(Catalogo_Servicios!$C$4:$C$24,MATCH(C583,Catalogo_Servicios!$A$4:$A$24,0))</f>
        <v>Declaración mensual de IVA (D-104)</v>
      </c>
      <c r="F583" s="14">
        <v>0.75</v>
      </c>
      <c r="G583" s="15">
        <f>Parametros!$B$4</f>
        <v>28681</v>
      </c>
      <c r="H583" s="14">
        <f>INDEX(Clientes!$E$4:$E$15,MATCH(B583,Clientes!$A$4:$A$15,0))</f>
        <v>1</v>
      </c>
      <c r="I583" s="15">
        <f t="shared" si="9"/>
        <v>21511</v>
      </c>
    </row>
    <row r="584" spans="1:9" x14ac:dyDescent="0.3">
      <c r="A584" s="13">
        <v>46054</v>
      </c>
      <c r="B584" t="s">
        <v>35</v>
      </c>
      <c r="C584" t="s">
        <v>72</v>
      </c>
      <c r="D584" t="str">
        <f>INDEX(Clientes!$B$4:$B$15,MATCH(B584,Clientes!$A$4:$A$15,0))</f>
        <v>Taller Mecánico Hermanos Mora</v>
      </c>
      <c r="E584" t="str">
        <f>INDEX(Catalogo_Servicios!$C$4:$C$24,MATCH(C584,Catalogo_Servicios!$A$4:$A$24,0))</f>
        <v>Declaración informativa anual (D-151)</v>
      </c>
      <c r="F584" s="14">
        <v>0.5</v>
      </c>
      <c r="G584" s="15">
        <f>Parametros!$B$4</f>
        <v>28681</v>
      </c>
      <c r="H584" s="14">
        <f>INDEX(Clientes!$E$4:$E$15,MATCH(B584,Clientes!$A$4:$A$15,0))</f>
        <v>1</v>
      </c>
      <c r="I584" s="15">
        <f t="shared" si="9"/>
        <v>14341</v>
      </c>
    </row>
    <row r="585" spans="1:9" x14ac:dyDescent="0.3">
      <c r="A585" s="13">
        <v>46054</v>
      </c>
      <c r="B585" t="s">
        <v>36</v>
      </c>
      <c r="C585" t="s">
        <v>65</v>
      </c>
      <c r="D585" t="str">
        <f>INDEX(Clientes!$B$4:$B$15,MATCH(B585,Clientes!$A$4:$A$15,0))</f>
        <v>Agroservicios Cartago</v>
      </c>
      <c r="E585" t="str">
        <f>INDEX(Catalogo_Servicios!$C$4:$C$24,MATCH(C585,Catalogo_Servicios!$A$4:$A$24,0))</f>
        <v>Declaración mensual de IVA (D-104)</v>
      </c>
      <c r="F585" s="14">
        <v>1</v>
      </c>
      <c r="G585" s="15">
        <f>Parametros!$B$4</f>
        <v>28681</v>
      </c>
      <c r="H585" s="14">
        <f>INDEX(Clientes!$E$4:$E$15,MATCH(B585,Clientes!$A$4:$A$15,0))</f>
        <v>1</v>
      </c>
      <c r="I585" s="15">
        <f t="shared" si="9"/>
        <v>28681</v>
      </c>
    </row>
    <row r="586" spans="1:9" x14ac:dyDescent="0.3">
      <c r="A586" s="13">
        <v>46054</v>
      </c>
      <c r="B586" t="s">
        <v>36</v>
      </c>
      <c r="C586" t="s">
        <v>66</v>
      </c>
      <c r="D586" t="str">
        <f>INDEX(Clientes!$B$4:$B$15,MATCH(B586,Clientes!$A$4:$A$15,0))</f>
        <v>Agroservicios Cartago</v>
      </c>
      <c r="E586" t="str">
        <f>INDEX(Catalogo_Servicios!$C$4:$C$24,MATCH(C586,Catalogo_Servicios!$A$4:$A$24,0))</f>
        <v>Declaración mensual de retenciones (D-103)</v>
      </c>
      <c r="F586" s="14">
        <v>0.25</v>
      </c>
      <c r="G586" s="15">
        <f>Parametros!$B$4</f>
        <v>28681</v>
      </c>
      <c r="H586" s="14">
        <f>INDEX(Clientes!$E$4:$E$15,MATCH(B586,Clientes!$A$4:$A$15,0))</f>
        <v>1</v>
      </c>
      <c r="I586" s="15">
        <f t="shared" si="9"/>
        <v>7170</v>
      </c>
    </row>
    <row r="587" spans="1:9" x14ac:dyDescent="0.3">
      <c r="A587" s="13">
        <v>46054</v>
      </c>
      <c r="B587" t="s">
        <v>36</v>
      </c>
      <c r="C587" t="s">
        <v>72</v>
      </c>
      <c r="D587" t="str">
        <f>INDEX(Clientes!$B$4:$B$15,MATCH(B587,Clientes!$A$4:$A$15,0))</f>
        <v>Agroservicios Cartago</v>
      </c>
      <c r="E587" t="str">
        <f>INDEX(Catalogo_Servicios!$C$4:$C$24,MATCH(C587,Catalogo_Servicios!$A$4:$A$24,0))</f>
        <v>Declaración informativa anual (D-151)</v>
      </c>
      <c r="F587" s="14">
        <v>0.5</v>
      </c>
      <c r="G587" s="15">
        <f>Parametros!$B$4</f>
        <v>28681</v>
      </c>
      <c r="H587" s="14">
        <f>INDEX(Clientes!$E$4:$E$15,MATCH(B587,Clientes!$A$4:$A$15,0))</f>
        <v>1</v>
      </c>
      <c r="I587" s="15">
        <f t="shared" si="9"/>
        <v>14341</v>
      </c>
    </row>
    <row r="588" spans="1:9" x14ac:dyDescent="0.3">
      <c r="A588" s="13">
        <v>46054</v>
      </c>
      <c r="B588" t="s">
        <v>38</v>
      </c>
      <c r="C588" t="s">
        <v>65</v>
      </c>
      <c r="D588" t="str">
        <f>INDEX(Clientes!$B$4:$B$15,MATCH(B588,Clientes!$A$4:$A$15,0))</f>
        <v>Panadería La Espiga</v>
      </c>
      <c r="E588" t="str">
        <f>INDEX(Catalogo_Servicios!$C$4:$C$24,MATCH(C588,Catalogo_Servicios!$A$4:$A$24,0))</f>
        <v>Declaración mensual de IVA (D-104)</v>
      </c>
      <c r="F588" s="14">
        <v>0.75</v>
      </c>
      <c r="G588" s="15">
        <f>Parametros!$B$4</f>
        <v>28681</v>
      </c>
      <c r="H588" s="14">
        <f>INDEX(Clientes!$E$4:$E$15,MATCH(B588,Clientes!$A$4:$A$15,0))</f>
        <v>1</v>
      </c>
      <c r="I588" s="15">
        <f t="shared" si="9"/>
        <v>21511</v>
      </c>
    </row>
    <row r="589" spans="1:9" x14ac:dyDescent="0.3">
      <c r="A589" s="13">
        <v>46054</v>
      </c>
      <c r="B589" t="s">
        <v>38</v>
      </c>
      <c r="C589" t="s">
        <v>67</v>
      </c>
      <c r="D589" t="str">
        <f>INDEX(Clientes!$B$4:$B$15,MATCH(B589,Clientes!$A$4:$A$15,0))</f>
        <v>Panadería La Espiga</v>
      </c>
      <c r="E589" t="str">
        <f>INDEX(Catalogo_Servicios!$C$4:$C$24,MATCH(C589,Catalogo_Servicios!$A$4:$A$24,0))</f>
        <v>Cálculo de planillas y cargas sociales (CCSS/INS)</v>
      </c>
      <c r="F589" s="14">
        <v>6.5</v>
      </c>
      <c r="G589" s="15">
        <f>Parametros!$B$4</f>
        <v>28681</v>
      </c>
      <c r="H589" s="14">
        <f>INDEX(Clientes!$E$4:$E$15,MATCH(B589,Clientes!$A$4:$A$15,0))</f>
        <v>1</v>
      </c>
      <c r="I589" s="15">
        <f t="shared" si="9"/>
        <v>186427</v>
      </c>
    </row>
    <row r="590" spans="1:9" x14ac:dyDescent="0.3">
      <c r="A590" s="13">
        <v>46054</v>
      </c>
      <c r="B590" t="s">
        <v>38</v>
      </c>
      <c r="C590" t="s">
        <v>72</v>
      </c>
      <c r="D590" t="str">
        <f>INDEX(Clientes!$B$4:$B$15,MATCH(B590,Clientes!$A$4:$A$15,0))</f>
        <v>Panadería La Espiga</v>
      </c>
      <c r="E590" t="str">
        <f>INDEX(Catalogo_Servicios!$C$4:$C$24,MATCH(C590,Catalogo_Servicios!$A$4:$A$24,0))</f>
        <v>Declaración informativa anual (D-151)</v>
      </c>
      <c r="F590" s="14">
        <v>0.5</v>
      </c>
      <c r="G590" s="15">
        <f>Parametros!$B$4</f>
        <v>28681</v>
      </c>
      <c r="H590" s="14">
        <f>INDEX(Clientes!$E$4:$E$15,MATCH(B590,Clientes!$A$4:$A$15,0))</f>
        <v>1</v>
      </c>
      <c r="I590" s="15">
        <f t="shared" si="9"/>
        <v>14341</v>
      </c>
    </row>
    <row r="591" spans="1:9" x14ac:dyDescent="0.3">
      <c r="A591" s="13">
        <v>46054</v>
      </c>
      <c r="B591" t="s">
        <v>40</v>
      </c>
      <c r="C591" t="s">
        <v>68</v>
      </c>
      <c r="D591" t="str">
        <f>INDEX(Clientes!$B$4:$B$15,MATCH(B591,Clientes!$A$4:$A$15,0))</f>
        <v>Veterinaria Mascotas Felices</v>
      </c>
      <c r="E591" t="str">
        <f>INDEX(Catalogo_Servicios!$C$4:$C$24,MATCH(C591,Catalogo_Servicios!$A$4:$A$24,0))</f>
        <v>Asesoría contable, financiera y tributaria</v>
      </c>
      <c r="F591" s="14">
        <v>1.5</v>
      </c>
      <c r="G591" s="15">
        <f>Parametros!$B$4</f>
        <v>28681</v>
      </c>
      <c r="H591" s="14">
        <f>INDEX(Clientes!$E$4:$E$15,MATCH(B591,Clientes!$A$4:$A$15,0))</f>
        <v>1.05</v>
      </c>
      <c r="I591" s="15">
        <f t="shared" si="9"/>
        <v>45173</v>
      </c>
    </row>
    <row r="592" spans="1:9" x14ac:dyDescent="0.3">
      <c r="A592" s="13">
        <v>46082</v>
      </c>
      <c r="B592" t="s">
        <v>29</v>
      </c>
      <c r="C592" t="s">
        <v>64</v>
      </c>
      <c r="D592" t="str">
        <f>INDEX(Clientes!$B$4:$B$15,MATCH(B592,Clientes!$A$4:$A$15,0))</f>
        <v>Distribuidora Los Andes S.A.</v>
      </c>
      <c r="E592" t="str">
        <f>INDEX(Catalogo_Servicios!$C$4:$C$24,MATCH(C592,Catalogo_Servicios!$A$4:$A$24,0))</f>
        <v>Estados financieros mensuales</v>
      </c>
      <c r="F592" s="14">
        <v>3</v>
      </c>
      <c r="G592" s="15">
        <f>Parametros!$B$4</f>
        <v>28681</v>
      </c>
      <c r="H592" s="14">
        <f>INDEX(Clientes!$E$4:$E$15,MATCH(B592,Clientes!$A$4:$A$15,0))</f>
        <v>1</v>
      </c>
      <c r="I592" s="15">
        <f t="shared" si="9"/>
        <v>86043</v>
      </c>
    </row>
    <row r="593" spans="1:9" x14ac:dyDescent="0.3">
      <c r="A593" s="13">
        <v>46082</v>
      </c>
      <c r="B593" t="s">
        <v>29</v>
      </c>
      <c r="C593" t="s">
        <v>65</v>
      </c>
      <c r="D593" t="str">
        <f>INDEX(Clientes!$B$4:$B$15,MATCH(B593,Clientes!$A$4:$A$15,0))</f>
        <v>Distribuidora Los Andes S.A.</v>
      </c>
      <c r="E593" t="str">
        <f>INDEX(Catalogo_Servicios!$C$4:$C$24,MATCH(C593,Catalogo_Servicios!$A$4:$A$24,0))</f>
        <v>Declaración mensual de IVA (D-104)</v>
      </c>
      <c r="F593" s="14">
        <v>0.75</v>
      </c>
      <c r="G593" s="15">
        <f>Parametros!$B$4</f>
        <v>28681</v>
      </c>
      <c r="H593" s="14">
        <f>INDEX(Clientes!$E$4:$E$15,MATCH(B593,Clientes!$A$4:$A$15,0))</f>
        <v>1</v>
      </c>
      <c r="I593" s="15">
        <f t="shared" si="9"/>
        <v>21511</v>
      </c>
    </row>
    <row r="594" spans="1:9" x14ac:dyDescent="0.3">
      <c r="A594" s="13">
        <v>46082</v>
      </c>
      <c r="B594" t="s">
        <v>29</v>
      </c>
      <c r="C594" t="s">
        <v>66</v>
      </c>
      <c r="D594" t="str">
        <f>INDEX(Clientes!$B$4:$B$15,MATCH(B594,Clientes!$A$4:$A$15,0))</f>
        <v>Distribuidora Los Andes S.A.</v>
      </c>
      <c r="E594" t="str">
        <f>INDEX(Catalogo_Servicios!$C$4:$C$24,MATCH(C594,Catalogo_Servicios!$A$4:$A$24,0))</f>
        <v>Declaración mensual de retenciones (D-103)</v>
      </c>
      <c r="F594" s="14">
        <v>0.25</v>
      </c>
      <c r="G594" s="15">
        <f>Parametros!$B$4</f>
        <v>28681</v>
      </c>
      <c r="H594" s="14">
        <f>INDEX(Clientes!$E$4:$E$15,MATCH(B594,Clientes!$A$4:$A$15,0))</f>
        <v>1</v>
      </c>
      <c r="I594" s="15">
        <f t="shared" si="9"/>
        <v>7170</v>
      </c>
    </row>
    <row r="595" spans="1:9" x14ac:dyDescent="0.3">
      <c r="A595" s="13">
        <v>46082</v>
      </c>
      <c r="B595" t="s">
        <v>29</v>
      </c>
      <c r="C595" t="s">
        <v>67</v>
      </c>
      <c r="D595" t="str">
        <f>INDEX(Clientes!$B$4:$B$15,MATCH(B595,Clientes!$A$4:$A$15,0))</f>
        <v>Distribuidora Los Andes S.A.</v>
      </c>
      <c r="E595" t="str">
        <f>INDEX(Catalogo_Servicios!$C$4:$C$24,MATCH(C595,Catalogo_Servicios!$A$4:$A$24,0))</f>
        <v>Cálculo de planillas y cargas sociales (CCSS/INS)</v>
      </c>
      <c r="F595" s="14">
        <v>22</v>
      </c>
      <c r="G595" s="15">
        <f>Parametros!$B$4</f>
        <v>28681</v>
      </c>
      <c r="H595" s="14">
        <f>INDEX(Clientes!$E$4:$E$15,MATCH(B595,Clientes!$A$4:$A$15,0))</f>
        <v>1</v>
      </c>
      <c r="I595" s="15">
        <f t="shared" si="9"/>
        <v>630982</v>
      </c>
    </row>
    <row r="596" spans="1:9" x14ac:dyDescent="0.3">
      <c r="A596" s="13">
        <v>46082</v>
      </c>
      <c r="B596" t="s">
        <v>30</v>
      </c>
      <c r="C596" t="s">
        <v>64</v>
      </c>
      <c r="D596" t="str">
        <f>INDEX(Clientes!$B$4:$B$15,MATCH(B596,Clientes!$A$4:$A$15,0))</f>
        <v>Ferretería El Tornillo</v>
      </c>
      <c r="E596" t="str">
        <f>INDEX(Catalogo_Servicios!$C$4:$C$24,MATCH(C596,Catalogo_Servicios!$A$4:$A$24,0))</f>
        <v>Estados financieros mensuales</v>
      </c>
      <c r="F596" s="14">
        <v>3.25</v>
      </c>
      <c r="G596" s="15">
        <f>Parametros!$B$4</f>
        <v>28681</v>
      </c>
      <c r="H596" s="14">
        <f>INDEX(Clientes!$E$4:$E$15,MATCH(B596,Clientes!$A$4:$A$15,0))</f>
        <v>1</v>
      </c>
      <c r="I596" s="15">
        <f t="shared" si="9"/>
        <v>93213</v>
      </c>
    </row>
    <row r="597" spans="1:9" x14ac:dyDescent="0.3">
      <c r="A597" s="13">
        <v>46082</v>
      </c>
      <c r="B597" t="s">
        <v>30</v>
      </c>
      <c r="C597" t="s">
        <v>65</v>
      </c>
      <c r="D597" t="str">
        <f>INDEX(Clientes!$B$4:$B$15,MATCH(B597,Clientes!$A$4:$A$15,0))</f>
        <v>Ferretería El Tornillo</v>
      </c>
      <c r="E597" t="str">
        <f>INDEX(Catalogo_Servicios!$C$4:$C$24,MATCH(C597,Catalogo_Servicios!$A$4:$A$24,0))</f>
        <v>Declaración mensual de IVA (D-104)</v>
      </c>
      <c r="F597" s="14">
        <v>0.75</v>
      </c>
      <c r="G597" s="15">
        <f>Parametros!$B$4</f>
        <v>28681</v>
      </c>
      <c r="H597" s="14">
        <f>INDEX(Clientes!$E$4:$E$15,MATCH(B597,Clientes!$A$4:$A$15,0))</f>
        <v>1</v>
      </c>
      <c r="I597" s="15">
        <f t="shared" si="9"/>
        <v>21511</v>
      </c>
    </row>
    <row r="598" spans="1:9" x14ac:dyDescent="0.3">
      <c r="A598" s="13">
        <v>46082</v>
      </c>
      <c r="B598" t="s">
        <v>30</v>
      </c>
      <c r="C598" t="s">
        <v>66</v>
      </c>
      <c r="D598" t="str">
        <f>INDEX(Clientes!$B$4:$B$15,MATCH(B598,Clientes!$A$4:$A$15,0))</f>
        <v>Ferretería El Tornillo</v>
      </c>
      <c r="E598" t="str">
        <f>INDEX(Catalogo_Servicios!$C$4:$C$24,MATCH(C598,Catalogo_Servicios!$A$4:$A$24,0))</f>
        <v>Declaración mensual de retenciones (D-103)</v>
      </c>
      <c r="F598" s="14">
        <v>0.25</v>
      </c>
      <c r="G598" s="15">
        <f>Parametros!$B$4</f>
        <v>28681</v>
      </c>
      <c r="H598" s="14">
        <f>INDEX(Clientes!$E$4:$E$15,MATCH(B598,Clientes!$A$4:$A$15,0))</f>
        <v>1</v>
      </c>
      <c r="I598" s="15">
        <f t="shared" si="9"/>
        <v>7170</v>
      </c>
    </row>
    <row r="599" spans="1:9" x14ac:dyDescent="0.3">
      <c r="A599" s="13">
        <v>46082</v>
      </c>
      <c r="B599" t="s">
        <v>30</v>
      </c>
      <c r="C599" t="s">
        <v>69</v>
      </c>
      <c r="D599" t="str">
        <f>INDEX(Clientes!$B$4:$B$15,MATCH(B599,Clientes!$A$4:$A$15,0))</f>
        <v>Ferretería El Tornillo</v>
      </c>
      <c r="E599" t="str">
        <f>INDEX(Catalogo_Servicios!$C$4:$C$24,MATCH(C599,Catalogo_Servicios!$A$4:$A$24,0))</f>
        <v>Declaración anual de renta (D-101 / D-105)</v>
      </c>
      <c r="F599" s="14">
        <v>1.5</v>
      </c>
      <c r="G599" s="15">
        <f>Parametros!$B$4</f>
        <v>28681</v>
      </c>
      <c r="H599" s="14">
        <f>INDEX(Clientes!$E$4:$E$15,MATCH(B599,Clientes!$A$4:$A$15,0))</f>
        <v>1</v>
      </c>
      <c r="I599" s="15">
        <f t="shared" si="9"/>
        <v>43022</v>
      </c>
    </row>
    <row r="600" spans="1:9" x14ac:dyDescent="0.3">
      <c r="A600" s="13">
        <v>46082</v>
      </c>
      <c r="B600" t="s">
        <v>30</v>
      </c>
      <c r="C600" t="s">
        <v>70</v>
      </c>
      <c r="D600" t="str">
        <f>INDEX(Clientes!$B$4:$B$15,MATCH(B600,Clientes!$A$4:$A$15,0))</f>
        <v>Ferretería El Tornillo</v>
      </c>
      <c r="E600" t="str">
        <f>INDEX(Catalogo_Servicios!$C$4:$C$24,MATCH(C600,Catalogo_Servicios!$A$4:$A$24,0))</f>
        <v>Estados financieros anuales / cierre fiscal</v>
      </c>
      <c r="F600" s="14">
        <v>6</v>
      </c>
      <c r="G600" s="15">
        <f>Parametros!$B$4</f>
        <v>28681</v>
      </c>
      <c r="H600" s="14">
        <f>INDEX(Clientes!$E$4:$E$15,MATCH(B600,Clientes!$A$4:$A$15,0))</f>
        <v>1</v>
      </c>
      <c r="I600" s="15">
        <f t="shared" si="9"/>
        <v>172086</v>
      </c>
    </row>
    <row r="601" spans="1:9" x14ac:dyDescent="0.3">
      <c r="A601" s="13">
        <v>46082</v>
      </c>
      <c r="B601" t="s">
        <v>31</v>
      </c>
      <c r="C601" t="s">
        <v>65</v>
      </c>
      <c r="D601" t="str">
        <f>INDEX(Clientes!$B$4:$B$15,MATCH(B601,Clientes!$A$4:$A$15,0))</f>
        <v>Clínica Dental Sonrisa</v>
      </c>
      <c r="E601" t="str">
        <f>INDEX(Catalogo_Servicios!$C$4:$C$24,MATCH(C601,Catalogo_Servicios!$A$4:$A$24,0))</f>
        <v>Declaración mensual de IVA (D-104)</v>
      </c>
      <c r="F601" s="14">
        <v>0.75</v>
      </c>
      <c r="G601" s="15">
        <f>Parametros!$B$4</f>
        <v>28681</v>
      </c>
      <c r="H601" s="14">
        <f>INDEX(Clientes!$E$4:$E$15,MATCH(B601,Clientes!$A$4:$A$15,0))</f>
        <v>1.1000000000000001</v>
      </c>
      <c r="I601" s="15">
        <f t="shared" si="9"/>
        <v>23662</v>
      </c>
    </row>
    <row r="602" spans="1:9" x14ac:dyDescent="0.3">
      <c r="A602" s="13">
        <v>46082</v>
      </c>
      <c r="B602" t="s">
        <v>32</v>
      </c>
      <c r="C602" t="s">
        <v>65</v>
      </c>
      <c r="D602" t="str">
        <f>INDEX(Clientes!$B$4:$B$15,MATCH(B602,Clientes!$A$4:$A$15,0))</f>
        <v>Soda y Restaurante Doña Lela</v>
      </c>
      <c r="E602" t="str">
        <f>INDEX(Catalogo_Servicios!$C$4:$C$24,MATCH(C602,Catalogo_Servicios!$A$4:$A$24,0))</f>
        <v>Declaración mensual de IVA (D-104)</v>
      </c>
      <c r="F602" s="14">
        <v>0.75</v>
      </c>
      <c r="G602" s="15">
        <f>Parametros!$B$4</f>
        <v>28681</v>
      </c>
      <c r="H602" s="14">
        <f>INDEX(Clientes!$E$4:$E$15,MATCH(B602,Clientes!$A$4:$A$15,0))</f>
        <v>1</v>
      </c>
      <c r="I602" s="15">
        <f t="shared" si="9"/>
        <v>21511</v>
      </c>
    </row>
    <row r="603" spans="1:9" x14ac:dyDescent="0.3">
      <c r="A603" s="13">
        <v>46082</v>
      </c>
      <c r="B603" t="s">
        <v>33</v>
      </c>
      <c r="C603" t="s">
        <v>65</v>
      </c>
      <c r="D603" t="str">
        <f>INDEX(Clientes!$B$4:$B$15,MATCH(B603,Clientes!$A$4:$A$15,0))</f>
        <v>Transportes Rápidos del Valle</v>
      </c>
      <c r="E603" t="str">
        <f>INDEX(Catalogo_Servicios!$C$4:$C$24,MATCH(C603,Catalogo_Servicios!$A$4:$A$24,0))</f>
        <v>Declaración mensual de IVA (D-104)</v>
      </c>
      <c r="F603" s="14">
        <v>0.75</v>
      </c>
      <c r="G603" s="15">
        <f>Parametros!$B$4</f>
        <v>28681</v>
      </c>
      <c r="H603" s="14">
        <f>INDEX(Clientes!$E$4:$E$15,MATCH(B603,Clientes!$A$4:$A$15,0))</f>
        <v>1</v>
      </c>
      <c r="I603" s="15">
        <f t="shared" si="9"/>
        <v>21511</v>
      </c>
    </row>
    <row r="604" spans="1:9" x14ac:dyDescent="0.3">
      <c r="A604" s="13">
        <v>46082</v>
      </c>
      <c r="B604" t="s">
        <v>33</v>
      </c>
      <c r="C604" t="s">
        <v>66</v>
      </c>
      <c r="D604" t="str">
        <f>INDEX(Clientes!$B$4:$B$15,MATCH(B604,Clientes!$A$4:$A$15,0))</f>
        <v>Transportes Rápidos del Valle</v>
      </c>
      <c r="E604" t="str">
        <f>INDEX(Catalogo_Servicios!$C$4:$C$24,MATCH(C604,Catalogo_Servicios!$A$4:$A$24,0))</f>
        <v>Declaración mensual de retenciones (D-103)</v>
      </c>
      <c r="F604" s="14">
        <v>0.25</v>
      </c>
      <c r="G604" s="15">
        <f>Parametros!$B$4</f>
        <v>28681</v>
      </c>
      <c r="H604" s="14">
        <f>INDEX(Clientes!$E$4:$E$15,MATCH(B604,Clientes!$A$4:$A$15,0))</f>
        <v>1</v>
      </c>
      <c r="I604" s="15">
        <f t="shared" si="9"/>
        <v>7170</v>
      </c>
    </row>
    <row r="605" spans="1:9" x14ac:dyDescent="0.3">
      <c r="A605" s="13">
        <v>46082</v>
      </c>
      <c r="B605" t="s">
        <v>33</v>
      </c>
      <c r="C605" t="s">
        <v>67</v>
      </c>
      <c r="D605" t="str">
        <f>INDEX(Clientes!$B$4:$B$15,MATCH(B605,Clientes!$A$4:$A$15,0))</f>
        <v>Transportes Rápidos del Valle</v>
      </c>
      <c r="E605" t="str">
        <f>INDEX(Catalogo_Servicios!$C$4:$C$24,MATCH(C605,Catalogo_Servicios!$A$4:$A$24,0))</f>
        <v>Cálculo de planillas y cargas sociales (CCSS/INS)</v>
      </c>
      <c r="F605" s="14">
        <v>6.5</v>
      </c>
      <c r="G605" s="15">
        <f>Parametros!$B$4</f>
        <v>28681</v>
      </c>
      <c r="H605" s="14">
        <f>INDEX(Clientes!$E$4:$E$15,MATCH(B605,Clientes!$A$4:$A$15,0))</f>
        <v>1</v>
      </c>
      <c r="I605" s="15">
        <f t="shared" si="9"/>
        <v>186427</v>
      </c>
    </row>
    <row r="606" spans="1:9" x14ac:dyDescent="0.3">
      <c r="A606" s="13">
        <v>46082</v>
      </c>
      <c r="B606" t="s">
        <v>34</v>
      </c>
      <c r="C606" t="s">
        <v>69</v>
      </c>
      <c r="D606" t="str">
        <f>INDEX(Clientes!$B$4:$B$15,MATCH(B606,Clientes!$A$4:$A$15,0))</f>
        <v>Boutique Luna Nueva</v>
      </c>
      <c r="E606" t="str">
        <f>INDEX(Catalogo_Servicios!$C$4:$C$24,MATCH(C606,Catalogo_Servicios!$A$4:$A$24,0))</f>
        <v>Declaración anual de renta (D-101 / D-105)</v>
      </c>
      <c r="F606" s="14">
        <v>1.75</v>
      </c>
      <c r="G606" s="15">
        <f>Parametros!$B$4</f>
        <v>28681</v>
      </c>
      <c r="H606" s="14">
        <f>INDEX(Clientes!$E$4:$E$15,MATCH(B606,Clientes!$A$4:$A$15,0))</f>
        <v>1.1499999999999999</v>
      </c>
      <c r="I606" s="15">
        <f t="shared" si="9"/>
        <v>57721</v>
      </c>
    </row>
    <row r="607" spans="1:9" x14ac:dyDescent="0.3">
      <c r="A607" s="13">
        <v>46082</v>
      </c>
      <c r="B607" t="s">
        <v>35</v>
      </c>
      <c r="C607" t="s">
        <v>65</v>
      </c>
      <c r="D607" t="str">
        <f>INDEX(Clientes!$B$4:$B$15,MATCH(B607,Clientes!$A$4:$A$15,0))</f>
        <v>Taller Mecánico Hermanos Mora</v>
      </c>
      <c r="E607" t="str">
        <f>INDEX(Catalogo_Servicios!$C$4:$C$24,MATCH(C607,Catalogo_Servicios!$A$4:$A$24,0))</f>
        <v>Declaración mensual de IVA (D-104)</v>
      </c>
      <c r="F607" s="14">
        <v>0.75</v>
      </c>
      <c r="G607" s="15">
        <f>Parametros!$B$4</f>
        <v>28681</v>
      </c>
      <c r="H607" s="14">
        <f>INDEX(Clientes!$E$4:$E$15,MATCH(B607,Clientes!$A$4:$A$15,0))</f>
        <v>1</v>
      </c>
      <c r="I607" s="15">
        <f t="shared" si="9"/>
        <v>21511</v>
      </c>
    </row>
    <row r="608" spans="1:9" x14ac:dyDescent="0.3">
      <c r="A608" s="13">
        <v>46082</v>
      </c>
      <c r="B608" t="s">
        <v>35</v>
      </c>
      <c r="C608" t="s">
        <v>69</v>
      </c>
      <c r="D608" t="str">
        <f>INDEX(Clientes!$B$4:$B$15,MATCH(B608,Clientes!$A$4:$A$15,0))</f>
        <v>Taller Mecánico Hermanos Mora</v>
      </c>
      <c r="E608" t="str">
        <f>INDEX(Catalogo_Servicios!$C$4:$C$24,MATCH(C608,Catalogo_Servicios!$A$4:$A$24,0))</f>
        <v>Declaración anual de renta (D-101 / D-105)</v>
      </c>
      <c r="F608" s="14">
        <v>1.75</v>
      </c>
      <c r="G608" s="15">
        <f>Parametros!$B$4</f>
        <v>28681</v>
      </c>
      <c r="H608" s="14">
        <f>INDEX(Clientes!$E$4:$E$15,MATCH(B608,Clientes!$A$4:$A$15,0))</f>
        <v>1</v>
      </c>
      <c r="I608" s="15">
        <f t="shared" si="9"/>
        <v>50192</v>
      </c>
    </row>
    <row r="609" spans="1:9" x14ac:dyDescent="0.3">
      <c r="A609" s="13">
        <v>46082</v>
      </c>
      <c r="B609" t="s">
        <v>36</v>
      </c>
      <c r="C609" t="s">
        <v>65</v>
      </c>
      <c r="D609" t="str">
        <f>INDEX(Clientes!$B$4:$B$15,MATCH(B609,Clientes!$A$4:$A$15,0))</f>
        <v>Agroservicios Cartago</v>
      </c>
      <c r="E609" t="str">
        <f>INDEX(Catalogo_Servicios!$C$4:$C$24,MATCH(C609,Catalogo_Servicios!$A$4:$A$24,0))</f>
        <v>Declaración mensual de IVA (D-104)</v>
      </c>
      <c r="F609" s="14">
        <v>1</v>
      </c>
      <c r="G609" s="15">
        <f>Parametros!$B$4</f>
        <v>28681</v>
      </c>
      <c r="H609" s="14">
        <f>INDEX(Clientes!$E$4:$E$15,MATCH(B609,Clientes!$A$4:$A$15,0))</f>
        <v>1</v>
      </c>
      <c r="I609" s="15">
        <f t="shared" si="9"/>
        <v>28681</v>
      </c>
    </row>
    <row r="610" spans="1:9" x14ac:dyDescent="0.3">
      <c r="A610" s="13">
        <v>46082</v>
      </c>
      <c r="B610" t="s">
        <v>36</v>
      </c>
      <c r="C610" t="s">
        <v>66</v>
      </c>
      <c r="D610" t="str">
        <f>INDEX(Clientes!$B$4:$B$15,MATCH(B610,Clientes!$A$4:$A$15,0))</f>
        <v>Agroservicios Cartago</v>
      </c>
      <c r="E610" t="str">
        <f>INDEX(Catalogo_Servicios!$C$4:$C$24,MATCH(C610,Catalogo_Servicios!$A$4:$A$24,0))</f>
        <v>Declaración mensual de retenciones (D-103)</v>
      </c>
      <c r="F610" s="14">
        <v>0.25</v>
      </c>
      <c r="G610" s="15">
        <f>Parametros!$B$4</f>
        <v>28681</v>
      </c>
      <c r="H610" s="14">
        <f>INDEX(Clientes!$E$4:$E$15,MATCH(B610,Clientes!$A$4:$A$15,0))</f>
        <v>1</v>
      </c>
      <c r="I610" s="15">
        <f t="shared" si="9"/>
        <v>7170</v>
      </c>
    </row>
    <row r="611" spans="1:9" x14ac:dyDescent="0.3">
      <c r="A611" s="13">
        <v>46082</v>
      </c>
      <c r="B611" t="s">
        <v>36</v>
      </c>
      <c r="C611" t="s">
        <v>69</v>
      </c>
      <c r="D611" t="str">
        <f>INDEX(Clientes!$B$4:$B$15,MATCH(B611,Clientes!$A$4:$A$15,0))</f>
        <v>Agroservicios Cartago</v>
      </c>
      <c r="E611" t="str">
        <f>INDEX(Catalogo_Servicios!$C$4:$C$24,MATCH(C611,Catalogo_Servicios!$A$4:$A$24,0))</f>
        <v>Declaración anual de renta (D-101 / D-105)</v>
      </c>
      <c r="F611" s="14">
        <v>1.5</v>
      </c>
      <c r="G611" s="15">
        <f>Parametros!$B$4</f>
        <v>28681</v>
      </c>
      <c r="H611" s="14">
        <f>INDEX(Clientes!$E$4:$E$15,MATCH(B611,Clientes!$A$4:$A$15,0))</f>
        <v>1</v>
      </c>
      <c r="I611" s="15">
        <f t="shared" si="9"/>
        <v>43022</v>
      </c>
    </row>
    <row r="612" spans="1:9" x14ac:dyDescent="0.3">
      <c r="A612" s="13">
        <v>46082</v>
      </c>
      <c r="B612" t="s">
        <v>37</v>
      </c>
      <c r="C612" t="s">
        <v>69</v>
      </c>
      <c r="D612" t="str">
        <f>INDEX(Clientes!$B$4:$B$15,MATCH(B612,Clientes!$A$4:$A$15,0))</f>
        <v>Estudio Fotográfico Lumière</v>
      </c>
      <c r="E612" t="str">
        <f>INDEX(Catalogo_Servicios!$C$4:$C$24,MATCH(C612,Catalogo_Servicios!$A$4:$A$24,0))</f>
        <v>Declaración anual de renta (D-101 / D-105)</v>
      </c>
      <c r="F612" s="14">
        <v>1.5</v>
      </c>
      <c r="G612" s="15">
        <f>Parametros!$B$4</f>
        <v>28681</v>
      </c>
      <c r="H612" s="14">
        <f>INDEX(Clientes!$E$4:$E$15,MATCH(B612,Clientes!$A$4:$A$15,0))</f>
        <v>1.1000000000000001</v>
      </c>
      <c r="I612" s="15">
        <f t="shared" si="9"/>
        <v>47324</v>
      </c>
    </row>
    <row r="613" spans="1:9" x14ac:dyDescent="0.3">
      <c r="A613" s="13">
        <v>46082</v>
      </c>
      <c r="B613" t="s">
        <v>38</v>
      </c>
      <c r="C613" t="s">
        <v>65</v>
      </c>
      <c r="D613" t="str">
        <f>INDEX(Clientes!$B$4:$B$15,MATCH(B613,Clientes!$A$4:$A$15,0))</f>
        <v>Panadería La Espiga</v>
      </c>
      <c r="E613" t="str">
        <f>INDEX(Catalogo_Servicios!$C$4:$C$24,MATCH(C613,Catalogo_Servicios!$A$4:$A$24,0))</f>
        <v>Declaración mensual de IVA (D-104)</v>
      </c>
      <c r="F613" s="14">
        <v>1</v>
      </c>
      <c r="G613" s="15">
        <f>Parametros!$B$4</f>
        <v>28681</v>
      </c>
      <c r="H613" s="14">
        <f>INDEX(Clientes!$E$4:$E$15,MATCH(B613,Clientes!$A$4:$A$15,0))</f>
        <v>1</v>
      </c>
      <c r="I613" s="15">
        <f t="shared" si="9"/>
        <v>28681</v>
      </c>
    </row>
    <row r="614" spans="1:9" x14ac:dyDescent="0.3">
      <c r="A614" s="13">
        <v>46082</v>
      </c>
      <c r="B614" t="s">
        <v>38</v>
      </c>
      <c r="C614" t="s">
        <v>67</v>
      </c>
      <c r="D614" t="str">
        <f>INDEX(Clientes!$B$4:$B$15,MATCH(B614,Clientes!$A$4:$A$15,0))</f>
        <v>Panadería La Espiga</v>
      </c>
      <c r="E614" t="str">
        <f>INDEX(Catalogo_Servicios!$C$4:$C$24,MATCH(C614,Catalogo_Servicios!$A$4:$A$24,0))</f>
        <v>Cálculo de planillas y cargas sociales (CCSS/INS)</v>
      </c>
      <c r="F614" s="14">
        <v>7</v>
      </c>
      <c r="G614" s="15">
        <f>Parametros!$B$4</f>
        <v>28681</v>
      </c>
      <c r="H614" s="14">
        <f>INDEX(Clientes!$E$4:$E$15,MATCH(B614,Clientes!$A$4:$A$15,0))</f>
        <v>1</v>
      </c>
      <c r="I614" s="15">
        <f t="shared" si="9"/>
        <v>200767</v>
      </c>
    </row>
    <row r="615" spans="1:9" x14ac:dyDescent="0.3">
      <c r="A615" s="13">
        <v>46082</v>
      </c>
      <c r="B615" t="s">
        <v>39</v>
      </c>
      <c r="C615" t="s">
        <v>69</v>
      </c>
      <c r="D615" t="str">
        <f>INDEX(Clientes!$B$4:$B$15,MATCH(B615,Clientes!$A$4:$A$15,0))</f>
        <v>Consultores TIC Pura Vida</v>
      </c>
      <c r="E615" t="str">
        <f>INDEX(Catalogo_Servicios!$C$4:$C$24,MATCH(C615,Catalogo_Servicios!$A$4:$A$24,0))</f>
        <v>Declaración anual de renta (D-101 / D-105)</v>
      </c>
      <c r="F615" s="14">
        <v>1.75</v>
      </c>
      <c r="G615" s="15">
        <f>Parametros!$B$4</f>
        <v>28681</v>
      </c>
      <c r="H615" s="14">
        <f>INDEX(Clientes!$E$4:$E$15,MATCH(B615,Clientes!$A$4:$A$15,0))</f>
        <v>1</v>
      </c>
      <c r="I615" s="15">
        <f t="shared" si="9"/>
        <v>50192</v>
      </c>
    </row>
    <row r="616" spans="1:9" x14ac:dyDescent="0.3">
      <c r="A616" s="13">
        <v>46082</v>
      </c>
      <c r="B616" t="s">
        <v>40</v>
      </c>
      <c r="C616" t="s">
        <v>68</v>
      </c>
      <c r="D616" t="str">
        <f>INDEX(Clientes!$B$4:$B$15,MATCH(B616,Clientes!$A$4:$A$15,0))</f>
        <v>Veterinaria Mascotas Felices</v>
      </c>
      <c r="E616" t="str">
        <f>INDEX(Catalogo_Servicios!$C$4:$C$24,MATCH(C616,Catalogo_Servicios!$A$4:$A$24,0))</f>
        <v>Asesoría contable, financiera y tributaria</v>
      </c>
      <c r="F616" s="14">
        <v>1</v>
      </c>
      <c r="G616" s="15">
        <f>Parametros!$B$4</f>
        <v>28681</v>
      </c>
      <c r="H616" s="14">
        <f>INDEX(Clientes!$E$4:$E$15,MATCH(B616,Clientes!$A$4:$A$15,0))</f>
        <v>1.05</v>
      </c>
      <c r="I616" s="15">
        <f t="shared" si="9"/>
        <v>30115</v>
      </c>
    </row>
    <row r="617" spans="1:9" x14ac:dyDescent="0.3">
      <c r="A617" s="13">
        <v>46082</v>
      </c>
      <c r="B617" t="s">
        <v>40</v>
      </c>
      <c r="C617" t="s">
        <v>69</v>
      </c>
      <c r="D617" t="str">
        <f>INDEX(Clientes!$B$4:$B$15,MATCH(B617,Clientes!$A$4:$A$15,0))</f>
        <v>Veterinaria Mascotas Felices</v>
      </c>
      <c r="E617" t="str">
        <f>INDEX(Catalogo_Servicios!$C$4:$C$24,MATCH(C617,Catalogo_Servicios!$A$4:$A$24,0))</f>
        <v>Declaración anual de renta (D-101 / D-105)</v>
      </c>
      <c r="F617" s="14">
        <v>1.5</v>
      </c>
      <c r="G617" s="15">
        <f>Parametros!$B$4</f>
        <v>28681</v>
      </c>
      <c r="H617" s="14">
        <f>INDEX(Clientes!$E$4:$E$15,MATCH(B617,Clientes!$A$4:$A$15,0))</f>
        <v>1.05</v>
      </c>
      <c r="I617" s="15">
        <f t="shared" si="9"/>
        <v>45173</v>
      </c>
    </row>
    <row r="618" spans="1:9" x14ac:dyDescent="0.3">
      <c r="A618" s="13">
        <v>46113</v>
      </c>
      <c r="B618" t="s">
        <v>29</v>
      </c>
      <c r="C618" t="s">
        <v>64</v>
      </c>
      <c r="D618" t="str">
        <f>INDEX(Clientes!$B$4:$B$15,MATCH(B618,Clientes!$A$4:$A$15,0))</f>
        <v>Distribuidora Los Andes S.A.</v>
      </c>
      <c r="E618" t="str">
        <f>INDEX(Catalogo_Servicios!$C$4:$C$24,MATCH(C618,Catalogo_Servicios!$A$4:$A$24,0))</f>
        <v>Estados financieros mensuales</v>
      </c>
      <c r="F618" s="14">
        <v>3</v>
      </c>
      <c r="G618" s="15">
        <f>Parametros!$B$4</f>
        <v>28681</v>
      </c>
      <c r="H618" s="14">
        <f>INDEX(Clientes!$E$4:$E$15,MATCH(B618,Clientes!$A$4:$A$15,0))</f>
        <v>1</v>
      </c>
      <c r="I618" s="15">
        <f t="shared" si="9"/>
        <v>86043</v>
      </c>
    </row>
    <row r="619" spans="1:9" x14ac:dyDescent="0.3">
      <c r="A619" s="13">
        <v>46113</v>
      </c>
      <c r="B619" t="s">
        <v>29</v>
      </c>
      <c r="C619" t="s">
        <v>65</v>
      </c>
      <c r="D619" t="str">
        <f>INDEX(Clientes!$B$4:$B$15,MATCH(B619,Clientes!$A$4:$A$15,0))</f>
        <v>Distribuidora Los Andes S.A.</v>
      </c>
      <c r="E619" t="str">
        <f>INDEX(Catalogo_Servicios!$C$4:$C$24,MATCH(C619,Catalogo_Servicios!$A$4:$A$24,0))</f>
        <v>Declaración mensual de IVA (D-104)</v>
      </c>
      <c r="F619" s="14">
        <v>0.75</v>
      </c>
      <c r="G619" s="15">
        <f>Parametros!$B$4</f>
        <v>28681</v>
      </c>
      <c r="H619" s="14">
        <f>INDEX(Clientes!$E$4:$E$15,MATCH(B619,Clientes!$A$4:$A$15,0))</f>
        <v>1</v>
      </c>
      <c r="I619" s="15">
        <f t="shared" si="9"/>
        <v>21511</v>
      </c>
    </row>
    <row r="620" spans="1:9" x14ac:dyDescent="0.3">
      <c r="A620" s="13">
        <v>46113</v>
      </c>
      <c r="B620" t="s">
        <v>29</v>
      </c>
      <c r="C620" t="s">
        <v>66</v>
      </c>
      <c r="D620" t="str">
        <f>INDEX(Clientes!$B$4:$B$15,MATCH(B620,Clientes!$A$4:$A$15,0))</f>
        <v>Distribuidora Los Andes S.A.</v>
      </c>
      <c r="E620" t="str">
        <f>INDEX(Catalogo_Servicios!$C$4:$C$24,MATCH(C620,Catalogo_Servicios!$A$4:$A$24,0))</f>
        <v>Declaración mensual de retenciones (D-103)</v>
      </c>
      <c r="F620" s="14">
        <v>0.25</v>
      </c>
      <c r="G620" s="15">
        <f>Parametros!$B$4</f>
        <v>28681</v>
      </c>
      <c r="H620" s="14">
        <f>INDEX(Clientes!$E$4:$E$15,MATCH(B620,Clientes!$A$4:$A$15,0))</f>
        <v>1</v>
      </c>
      <c r="I620" s="15">
        <f t="shared" si="9"/>
        <v>7170</v>
      </c>
    </row>
    <row r="621" spans="1:9" x14ac:dyDescent="0.3">
      <c r="A621" s="13">
        <v>46113</v>
      </c>
      <c r="B621" t="s">
        <v>29</v>
      </c>
      <c r="C621" t="s">
        <v>67</v>
      </c>
      <c r="D621" t="str">
        <f>INDEX(Clientes!$B$4:$B$15,MATCH(B621,Clientes!$A$4:$A$15,0))</f>
        <v>Distribuidora Los Andes S.A.</v>
      </c>
      <c r="E621" t="str">
        <f>INDEX(Catalogo_Servicios!$C$4:$C$24,MATCH(C621,Catalogo_Servicios!$A$4:$A$24,0))</f>
        <v>Cálculo de planillas y cargas sociales (CCSS/INS)</v>
      </c>
      <c r="F621" s="14">
        <v>21.5</v>
      </c>
      <c r="G621" s="15">
        <f>Parametros!$B$4</f>
        <v>28681</v>
      </c>
      <c r="H621" s="14">
        <f>INDEX(Clientes!$E$4:$E$15,MATCH(B621,Clientes!$A$4:$A$15,0))</f>
        <v>1</v>
      </c>
      <c r="I621" s="15">
        <f t="shared" si="9"/>
        <v>616642</v>
      </c>
    </row>
    <row r="622" spans="1:9" x14ac:dyDescent="0.3">
      <c r="A622" s="13">
        <v>46113</v>
      </c>
      <c r="B622" t="s">
        <v>30</v>
      </c>
      <c r="C622" t="s">
        <v>64</v>
      </c>
      <c r="D622" t="str">
        <f>INDEX(Clientes!$B$4:$B$15,MATCH(B622,Clientes!$A$4:$A$15,0))</f>
        <v>Ferretería El Tornillo</v>
      </c>
      <c r="E622" t="str">
        <f>INDEX(Catalogo_Servicios!$C$4:$C$24,MATCH(C622,Catalogo_Servicios!$A$4:$A$24,0))</f>
        <v>Estados financieros mensuales</v>
      </c>
      <c r="F622" s="14">
        <v>3</v>
      </c>
      <c r="G622" s="15">
        <f>Parametros!$B$4</f>
        <v>28681</v>
      </c>
      <c r="H622" s="14">
        <f>INDEX(Clientes!$E$4:$E$15,MATCH(B622,Clientes!$A$4:$A$15,0))</f>
        <v>1</v>
      </c>
      <c r="I622" s="15">
        <f t="shared" si="9"/>
        <v>86043</v>
      </c>
    </row>
    <row r="623" spans="1:9" x14ac:dyDescent="0.3">
      <c r="A623" s="13">
        <v>46113</v>
      </c>
      <c r="B623" t="s">
        <v>30</v>
      </c>
      <c r="C623" t="s">
        <v>65</v>
      </c>
      <c r="D623" t="str">
        <f>INDEX(Clientes!$B$4:$B$15,MATCH(B623,Clientes!$A$4:$A$15,0))</f>
        <v>Ferretería El Tornillo</v>
      </c>
      <c r="E623" t="str">
        <f>INDEX(Catalogo_Servicios!$C$4:$C$24,MATCH(C623,Catalogo_Servicios!$A$4:$A$24,0))</f>
        <v>Declaración mensual de IVA (D-104)</v>
      </c>
      <c r="F623" s="14">
        <v>0.75</v>
      </c>
      <c r="G623" s="15">
        <f>Parametros!$B$4</f>
        <v>28681</v>
      </c>
      <c r="H623" s="14">
        <f>INDEX(Clientes!$E$4:$E$15,MATCH(B623,Clientes!$A$4:$A$15,0))</f>
        <v>1</v>
      </c>
      <c r="I623" s="15">
        <f t="shared" si="9"/>
        <v>21511</v>
      </c>
    </row>
    <row r="624" spans="1:9" x14ac:dyDescent="0.3">
      <c r="A624" s="13">
        <v>46113</v>
      </c>
      <c r="B624" t="s">
        <v>30</v>
      </c>
      <c r="C624" t="s">
        <v>66</v>
      </c>
      <c r="D624" t="str">
        <f>INDEX(Clientes!$B$4:$B$15,MATCH(B624,Clientes!$A$4:$A$15,0))</f>
        <v>Ferretería El Tornillo</v>
      </c>
      <c r="E624" t="str">
        <f>INDEX(Catalogo_Servicios!$C$4:$C$24,MATCH(C624,Catalogo_Servicios!$A$4:$A$24,0))</f>
        <v>Declaración mensual de retenciones (D-103)</v>
      </c>
      <c r="F624" s="14">
        <v>0.25</v>
      </c>
      <c r="G624" s="15">
        <f>Parametros!$B$4</f>
        <v>28681</v>
      </c>
      <c r="H624" s="14">
        <f>INDEX(Clientes!$E$4:$E$15,MATCH(B624,Clientes!$A$4:$A$15,0))</f>
        <v>1</v>
      </c>
      <c r="I624" s="15">
        <f t="shared" si="9"/>
        <v>7170</v>
      </c>
    </row>
    <row r="625" spans="1:9" x14ac:dyDescent="0.3">
      <c r="A625" s="13">
        <v>46113</v>
      </c>
      <c r="B625" t="s">
        <v>31</v>
      </c>
      <c r="C625" t="s">
        <v>65</v>
      </c>
      <c r="D625" t="str">
        <f>INDEX(Clientes!$B$4:$B$15,MATCH(B625,Clientes!$A$4:$A$15,0))</f>
        <v>Clínica Dental Sonrisa</v>
      </c>
      <c r="E625" t="str">
        <f>INDEX(Catalogo_Servicios!$C$4:$C$24,MATCH(C625,Catalogo_Servicios!$A$4:$A$24,0))</f>
        <v>Declaración mensual de IVA (D-104)</v>
      </c>
      <c r="F625" s="14">
        <v>1</v>
      </c>
      <c r="G625" s="15">
        <f>Parametros!$B$4</f>
        <v>28681</v>
      </c>
      <c r="H625" s="14">
        <f>INDEX(Clientes!$E$4:$E$15,MATCH(B625,Clientes!$A$4:$A$15,0))</f>
        <v>1.1000000000000001</v>
      </c>
      <c r="I625" s="15">
        <f t="shared" si="9"/>
        <v>31549</v>
      </c>
    </row>
    <row r="626" spans="1:9" x14ac:dyDescent="0.3">
      <c r="A626" s="13">
        <v>46113</v>
      </c>
      <c r="B626" t="s">
        <v>32</v>
      </c>
      <c r="C626" t="s">
        <v>65</v>
      </c>
      <c r="D626" t="str">
        <f>INDEX(Clientes!$B$4:$B$15,MATCH(B626,Clientes!$A$4:$A$15,0))</f>
        <v>Soda y Restaurante Doña Lela</v>
      </c>
      <c r="E626" t="str">
        <f>INDEX(Catalogo_Servicios!$C$4:$C$24,MATCH(C626,Catalogo_Servicios!$A$4:$A$24,0))</f>
        <v>Declaración mensual de IVA (D-104)</v>
      </c>
      <c r="F626" s="14">
        <v>1</v>
      </c>
      <c r="G626" s="15">
        <f>Parametros!$B$4</f>
        <v>28681</v>
      </c>
      <c r="H626" s="14">
        <f>INDEX(Clientes!$E$4:$E$15,MATCH(B626,Clientes!$A$4:$A$15,0))</f>
        <v>1</v>
      </c>
      <c r="I626" s="15">
        <f t="shared" si="9"/>
        <v>28681</v>
      </c>
    </row>
    <row r="627" spans="1:9" x14ac:dyDescent="0.3">
      <c r="A627" s="13">
        <v>46113</v>
      </c>
      <c r="B627" t="s">
        <v>33</v>
      </c>
      <c r="C627" t="s">
        <v>65</v>
      </c>
      <c r="D627" t="str">
        <f>INDEX(Clientes!$B$4:$B$15,MATCH(B627,Clientes!$A$4:$A$15,0))</f>
        <v>Transportes Rápidos del Valle</v>
      </c>
      <c r="E627" t="str">
        <f>INDEX(Catalogo_Servicios!$C$4:$C$24,MATCH(C627,Catalogo_Servicios!$A$4:$A$24,0))</f>
        <v>Declaración mensual de IVA (D-104)</v>
      </c>
      <c r="F627" s="14">
        <v>1</v>
      </c>
      <c r="G627" s="15">
        <f>Parametros!$B$4</f>
        <v>28681</v>
      </c>
      <c r="H627" s="14">
        <f>INDEX(Clientes!$E$4:$E$15,MATCH(B627,Clientes!$A$4:$A$15,0))</f>
        <v>1</v>
      </c>
      <c r="I627" s="15">
        <f t="shared" si="9"/>
        <v>28681</v>
      </c>
    </row>
    <row r="628" spans="1:9" x14ac:dyDescent="0.3">
      <c r="A628" s="13">
        <v>46113</v>
      </c>
      <c r="B628" t="s">
        <v>33</v>
      </c>
      <c r="C628" t="s">
        <v>66</v>
      </c>
      <c r="D628" t="str">
        <f>INDEX(Clientes!$B$4:$B$15,MATCH(B628,Clientes!$A$4:$A$15,0))</f>
        <v>Transportes Rápidos del Valle</v>
      </c>
      <c r="E628" t="str">
        <f>INDEX(Catalogo_Servicios!$C$4:$C$24,MATCH(C628,Catalogo_Servicios!$A$4:$A$24,0))</f>
        <v>Declaración mensual de retenciones (D-103)</v>
      </c>
      <c r="F628" s="14">
        <v>0.25</v>
      </c>
      <c r="G628" s="15">
        <f>Parametros!$B$4</f>
        <v>28681</v>
      </c>
      <c r="H628" s="14">
        <f>INDEX(Clientes!$E$4:$E$15,MATCH(B628,Clientes!$A$4:$A$15,0))</f>
        <v>1</v>
      </c>
      <c r="I628" s="15">
        <f t="shared" si="9"/>
        <v>7170</v>
      </c>
    </row>
    <row r="629" spans="1:9" x14ac:dyDescent="0.3">
      <c r="A629" s="13">
        <v>46113</v>
      </c>
      <c r="B629" t="s">
        <v>33</v>
      </c>
      <c r="C629" t="s">
        <v>67</v>
      </c>
      <c r="D629" t="str">
        <f>INDEX(Clientes!$B$4:$B$15,MATCH(B629,Clientes!$A$4:$A$15,0))</f>
        <v>Transportes Rápidos del Valle</v>
      </c>
      <c r="E629" t="str">
        <f>INDEX(Catalogo_Servicios!$C$4:$C$24,MATCH(C629,Catalogo_Servicios!$A$4:$A$24,0))</f>
        <v>Cálculo de planillas y cargas sociales (CCSS/INS)</v>
      </c>
      <c r="F629" s="14">
        <v>6.5</v>
      </c>
      <c r="G629" s="15">
        <f>Parametros!$B$4</f>
        <v>28681</v>
      </c>
      <c r="H629" s="14">
        <f>INDEX(Clientes!$E$4:$E$15,MATCH(B629,Clientes!$A$4:$A$15,0))</f>
        <v>1</v>
      </c>
      <c r="I629" s="15">
        <f t="shared" si="9"/>
        <v>186427</v>
      </c>
    </row>
    <row r="630" spans="1:9" x14ac:dyDescent="0.3">
      <c r="A630" s="13">
        <v>46113</v>
      </c>
      <c r="B630" t="s">
        <v>34</v>
      </c>
      <c r="C630" t="s">
        <v>75</v>
      </c>
      <c r="D630" t="str">
        <f>INDEX(Clientes!$B$4:$B$15,MATCH(B630,Clientes!$A$4:$A$15,0))</f>
        <v>Boutique Luna Nueva</v>
      </c>
      <c r="E630" t="str">
        <f>INDEX(Catalogo_Servicios!$C$4:$C$24,MATCH(C630,Catalogo_Servicios!$A$4:$A$24,0))</f>
        <v>Certificación para PYME / Régimen simplificado (MEIC)</v>
      </c>
      <c r="F630" s="14">
        <v>3</v>
      </c>
      <c r="G630" s="15">
        <f>Parametros!$B$4</f>
        <v>28681</v>
      </c>
      <c r="H630" s="14">
        <f>INDEX(Clientes!$E$4:$E$15,MATCH(B630,Clientes!$A$4:$A$15,0))</f>
        <v>1.1499999999999999</v>
      </c>
      <c r="I630" s="15">
        <f t="shared" si="9"/>
        <v>98949</v>
      </c>
    </row>
    <row r="631" spans="1:9" x14ac:dyDescent="0.3">
      <c r="A631" s="13">
        <v>46113</v>
      </c>
      <c r="B631" t="s">
        <v>35</v>
      </c>
      <c r="C631" t="s">
        <v>68</v>
      </c>
      <c r="D631" t="str">
        <f>INDEX(Clientes!$B$4:$B$15,MATCH(B631,Clientes!$A$4:$A$15,0))</f>
        <v>Taller Mecánico Hermanos Mora</v>
      </c>
      <c r="E631" t="str">
        <f>INDEX(Catalogo_Servicios!$C$4:$C$24,MATCH(C631,Catalogo_Servicios!$A$4:$A$24,0))</f>
        <v>Asesoría contable, financiera y tributaria</v>
      </c>
      <c r="F631" s="14">
        <v>2</v>
      </c>
      <c r="G631" s="15">
        <f>Parametros!$B$4</f>
        <v>28681</v>
      </c>
      <c r="H631" s="14">
        <f>INDEX(Clientes!$E$4:$E$15,MATCH(B631,Clientes!$A$4:$A$15,0))</f>
        <v>1</v>
      </c>
      <c r="I631" s="15">
        <f t="shared" si="9"/>
        <v>57362</v>
      </c>
    </row>
    <row r="632" spans="1:9" x14ac:dyDescent="0.3">
      <c r="A632" s="13">
        <v>46113</v>
      </c>
      <c r="B632" t="s">
        <v>35</v>
      </c>
      <c r="C632" t="s">
        <v>65</v>
      </c>
      <c r="D632" t="str">
        <f>INDEX(Clientes!$B$4:$B$15,MATCH(B632,Clientes!$A$4:$A$15,0))</f>
        <v>Taller Mecánico Hermanos Mora</v>
      </c>
      <c r="E632" t="str">
        <f>INDEX(Catalogo_Servicios!$C$4:$C$24,MATCH(C632,Catalogo_Servicios!$A$4:$A$24,0))</f>
        <v>Declaración mensual de IVA (D-104)</v>
      </c>
      <c r="F632" s="14">
        <v>1</v>
      </c>
      <c r="G632" s="15">
        <f>Parametros!$B$4</f>
        <v>28681</v>
      </c>
      <c r="H632" s="14">
        <f>INDEX(Clientes!$E$4:$E$15,MATCH(B632,Clientes!$A$4:$A$15,0))</f>
        <v>1</v>
      </c>
      <c r="I632" s="15">
        <f t="shared" si="9"/>
        <v>28681</v>
      </c>
    </row>
    <row r="633" spans="1:9" x14ac:dyDescent="0.3">
      <c r="A633" s="13">
        <v>46113</v>
      </c>
      <c r="B633" t="s">
        <v>36</v>
      </c>
      <c r="C633" t="s">
        <v>65</v>
      </c>
      <c r="D633" t="str">
        <f>INDEX(Clientes!$B$4:$B$15,MATCH(B633,Clientes!$A$4:$A$15,0))</f>
        <v>Agroservicios Cartago</v>
      </c>
      <c r="E633" t="str">
        <f>INDEX(Catalogo_Servicios!$C$4:$C$24,MATCH(C633,Catalogo_Servicios!$A$4:$A$24,0))</f>
        <v>Declaración mensual de IVA (D-104)</v>
      </c>
      <c r="F633" s="14">
        <v>1</v>
      </c>
      <c r="G633" s="15">
        <f>Parametros!$B$4</f>
        <v>28681</v>
      </c>
      <c r="H633" s="14">
        <f>INDEX(Clientes!$E$4:$E$15,MATCH(B633,Clientes!$A$4:$A$15,0))</f>
        <v>1</v>
      </c>
      <c r="I633" s="15">
        <f t="shared" si="9"/>
        <v>28681</v>
      </c>
    </row>
    <row r="634" spans="1:9" x14ac:dyDescent="0.3">
      <c r="A634" s="13">
        <v>46113</v>
      </c>
      <c r="B634" t="s">
        <v>36</v>
      </c>
      <c r="C634" t="s">
        <v>66</v>
      </c>
      <c r="D634" t="str">
        <f>INDEX(Clientes!$B$4:$B$15,MATCH(B634,Clientes!$A$4:$A$15,0))</f>
        <v>Agroservicios Cartago</v>
      </c>
      <c r="E634" t="str">
        <f>INDEX(Catalogo_Servicios!$C$4:$C$24,MATCH(C634,Catalogo_Servicios!$A$4:$A$24,0))</f>
        <v>Declaración mensual de retenciones (D-103)</v>
      </c>
      <c r="F634" s="14">
        <v>0.25</v>
      </c>
      <c r="G634" s="15">
        <f>Parametros!$B$4</f>
        <v>28681</v>
      </c>
      <c r="H634" s="14">
        <f>INDEX(Clientes!$E$4:$E$15,MATCH(B634,Clientes!$A$4:$A$15,0))</f>
        <v>1</v>
      </c>
      <c r="I634" s="15">
        <f t="shared" si="9"/>
        <v>7170</v>
      </c>
    </row>
    <row r="635" spans="1:9" x14ac:dyDescent="0.3">
      <c r="A635" s="13">
        <v>46113</v>
      </c>
      <c r="B635" t="s">
        <v>38</v>
      </c>
      <c r="C635" t="s">
        <v>65</v>
      </c>
      <c r="D635" t="str">
        <f>INDEX(Clientes!$B$4:$B$15,MATCH(B635,Clientes!$A$4:$A$15,0))</f>
        <v>Panadería La Espiga</v>
      </c>
      <c r="E635" t="str">
        <f>INDEX(Catalogo_Servicios!$C$4:$C$24,MATCH(C635,Catalogo_Servicios!$A$4:$A$24,0))</f>
        <v>Declaración mensual de IVA (D-104)</v>
      </c>
      <c r="F635" s="14">
        <v>0.75</v>
      </c>
      <c r="G635" s="15">
        <f>Parametros!$B$4</f>
        <v>28681</v>
      </c>
      <c r="H635" s="14">
        <f>INDEX(Clientes!$E$4:$E$15,MATCH(B635,Clientes!$A$4:$A$15,0))</f>
        <v>1</v>
      </c>
      <c r="I635" s="15">
        <f t="shared" si="9"/>
        <v>21511</v>
      </c>
    </row>
    <row r="636" spans="1:9" x14ac:dyDescent="0.3">
      <c r="A636" s="13">
        <v>46113</v>
      </c>
      <c r="B636" t="s">
        <v>38</v>
      </c>
      <c r="C636" t="s">
        <v>67</v>
      </c>
      <c r="D636" t="str">
        <f>INDEX(Clientes!$B$4:$B$15,MATCH(B636,Clientes!$A$4:$A$15,0))</f>
        <v>Panadería La Espiga</v>
      </c>
      <c r="E636" t="str">
        <f>INDEX(Catalogo_Servicios!$C$4:$C$24,MATCH(C636,Catalogo_Servicios!$A$4:$A$24,0))</f>
        <v>Cálculo de planillas y cargas sociales (CCSS/INS)</v>
      </c>
      <c r="F636" s="14">
        <v>7</v>
      </c>
      <c r="G636" s="15">
        <f>Parametros!$B$4</f>
        <v>28681</v>
      </c>
      <c r="H636" s="14">
        <f>INDEX(Clientes!$E$4:$E$15,MATCH(B636,Clientes!$A$4:$A$15,0))</f>
        <v>1</v>
      </c>
      <c r="I636" s="15">
        <f t="shared" si="9"/>
        <v>200767</v>
      </c>
    </row>
    <row r="637" spans="1:9" x14ac:dyDescent="0.3">
      <c r="A637" s="13">
        <v>46143</v>
      </c>
      <c r="B637" t="s">
        <v>29</v>
      </c>
      <c r="C637" t="s">
        <v>64</v>
      </c>
      <c r="D637" t="str">
        <f>INDEX(Clientes!$B$4:$B$15,MATCH(B637,Clientes!$A$4:$A$15,0))</f>
        <v>Distribuidora Los Andes S.A.</v>
      </c>
      <c r="E637" t="str">
        <f>INDEX(Catalogo_Servicios!$C$4:$C$24,MATCH(C637,Catalogo_Servicios!$A$4:$A$24,0))</f>
        <v>Estados financieros mensuales</v>
      </c>
      <c r="F637" s="14">
        <v>3</v>
      </c>
      <c r="G637" s="15">
        <f>Parametros!$B$4</f>
        <v>28681</v>
      </c>
      <c r="H637" s="14">
        <f>INDEX(Clientes!$E$4:$E$15,MATCH(B637,Clientes!$A$4:$A$15,0))</f>
        <v>1</v>
      </c>
      <c r="I637" s="15">
        <f t="shared" si="9"/>
        <v>86043</v>
      </c>
    </row>
    <row r="638" spans="1:9" x14ac:dyDescent="0.3">
      <c r="A638" s="13">
        <v>46143</v>
      </c>
      <c r="B638" t="s">
        <v>29</v>
      </c>
      <c r="C638" t="s">
        <v>65</v>
      </c>
      <c r="D638" t="str">
        <f>INDEX(Clientes!$B$4:$B$15,MATCH(B638,Clientes!$A$4:$A$15,0))</f>
        <v>Distribuidora Los Andes S.A.</v>
      </c>
      <c r="E638" t="str">
        <f>INDEX(Catalogo_Servicios!$C$4:$C$24,MATCH(C638,Catalogo_Servicios!$A$4:$A$24,0))</f>
        <v>Declaración mensual de IVA (D-104)</v>
      </c>
      <c r="F638" s="14">
        <v>0.75</v>
      </c>
      <c r="G638" s="15">
        <f>Parametros!$B$4</f>
        <v>28681</v>
      </c>
      <c r="H638" s="14">
        <f>INDEX(Clientes!$E$4:$E$15,MATCH(B638,Clientes!$A$4:$A$15,0))</f>
        <v>1</v>
      </c>
      <c r="I638" s="15">
        <f t="shared" si="9"/>
        <v>21511</v>
      </c>
    </row>
    <row r="639" spans="1:9" x14ac:dyDescent="0.3">
      <c r="A639" s="13">
        <v>46143</v>
      </c>
      <c r="B639" t="s">
        <v>29</v>
      </c>
      <c r="C639" t="s">
        <v>66</v>
      </c>
      <c r="D639" t="str">
        <f>INDEX(Clientes!$B$4:$B$15,MATCH(B639,Clientes!$A$4:$A$15,0))</f>
        <v>Distribuidora Los Andes S.A.</v>
      </c>
      <c r="E639" t="str">
        <f>INDEX(Catalogo_Servicios!$C$4:$C$24,MATCH(C639,Catalogo_Servicios!$A$4:$A$24,0))</f>
        <v>Declaración mensual de retenciones (D-103)</v>
      </c>
      <c r="F639" s="14">
        <v>0.25</v>
      </c>
      <c r="G639" s="15">
        <f>Parametros!$B$4</f>
        <v>28681</v>
      </c>
      <c r="H639" s="14">
        <f>INDEX(Clientes!$E$4:$E$15,MATCH(B639,Clientes!$A$4:$A$15,0))</f>
        <v>1</v>
      </c>
      <c r="I639" s="15">
        <f t="shared" si="9"/>
        <v>7170</v>
      </c>
    </row>
    <row r="640" spans="1:9" x14ac:dyDescent="0.3">
      <c r="A640" s="13">
        <v>46143</v>
      </c>
      <c r="B640" t="s">
        <v>29</v>
      </c>
      <c r="C640" t="s">
        <v>67</v>
      </c>
      <c r="D640" t="str">
        <f>INDEX(Clientes!$B$4:$B$15,MATCH(B640,Clientes!$A$4:$A$15,0))</f>
        <v>Distribuidora Los Andes S.A.</v>
      </c>
      <c r="E640" t="str">
        <f>INDEX(Catalogo_Servicios!$C$4:$C$24,MATCH(C640,Catalogo_Servicios!$A$4:$A$24,0))</f>
        <v>Cálculo de planillas y cargas sociales (CCSS/INS)</v>
      </c>
      <c r="F640" s="14">
        <v>22.5</v>
      </c>
      <c r="G640" s="15">
        <f>Parametros!$B$4</f>
        <v>28681</v>
      </c>
      <c r="H640" s="14">
        <f>INDEX(Clientes!$E$4:$E$15,MATCH(B640,Clientes!$A$4:$A$15,0))</f>
        <v>1</v>
      </c>
      <c r="I640" s="15">
        <f t="shared" si="9"/>
        <v>645323</v>
      </c>
    </row>
    <row r="641" spans="1:9" x14ac:dyDescent="0.3">
      <c r="A641" s="13">
        <v>46143</v>
      </c>
      <c r="B641" t="s">
        <v>30</v>
      </c>
      <c r="C641" t="s">
        <v>64</v>
      </c>
      <c r="D641" t="str">
        <f>INDEX(Clientes!$B$4:$B$15,MATCH(B641,Clientes!$A$4:$A$15,0))</f>
        <v>Ferretería El Tornillo</v>
      </c>
      <c r="E641" t="str">
        <f>INDEX(Catalogo_Servicios!$C$4:$C$24,MATCH(C641,Catalogo_Servicios!$A$4:$A$24,0))</f>
        <v>Estados financieros mensuales</v>
      </c>
      <c r="F641" s="14">
        <v>3.25</v>
      </c>
      <c r="G641" s="15">
        <f>Parametros!$B$4</f>
        <v>28681</v>
      </c>
      <c r="H641" s="14">
        <f>INDEX(Clientes!$E$4:$E$15,MATCH(B641,Clientes!$A$4:$A$15,0))</f>
        <v>1</v>
      </c>
      <c r="I641" s="15">
        <f t="shared" si="9"/>
        <v>93213</v>
      </c>
    </row>
    <row r="642" spans="1:9" x14ac:dyDescent="0.3">
      <c r="A642" s="13">
        <v>46143</v>
      </c>
      <c r="B642" t="s">
        <v>30</v>
      </c>
      <c r="C642" t="s">
        <v>65</v>
      </c>
      <c r="D642" t="str">
        <f>INDEX(Clientes!$B$4:$B$15,MATCH(B642,Clientes!$A$4:$A$15,0))</f>
        <v>Ferretería El Tornillo</v>
      </c>
      <c r="E642" t="str">
        <f>INDEX(Catalogo_Servicios!$C$4:$C$24,MATCH(C642,Catalogo_Servicios!$A$4:$A$24,0))</f>
        <v>Declaración mensual de IVA (D-104)</v>
      </c>
      <c r="F642" s="14">
        <v>1</v>
      </c>
      <c r="G642" s="15">
        <f>Parametros!$B$4</f>
        <v>28681</v>
      </c>
      <c r="H642" s="14">
        <f>INDEX(Clientes!$E$4:$E$15,MATCH(B642,Clientes!$A$4:$A$15,0))</f>
        <v>1</v>
      </c>
      <c r="I642" s="15">
        <f t="shared" si="9"/>
        <v>28681</v>
      </c>
    </row>
    <row r="643" spans="1:9" x14ac:dyDescent="0.3">
      <c r="A643" s="13">
        <v>46143</v>
      </c>
      <c r="B643" t="s">
        <v>30</v>
      </c>
      <c r="C643" t="s">
        <v>66</v>
      </c>
      <c r="D643" t="str">
        <f>INDEX(Clientes!$B$4:$B$15,MATCH(B643,Clientes!$A$4:$A$15,0))</f>
        <v>Ferretería El Tornillo</v>
      </c>
      <c r="E643" t="str">
        <f>INDEX(Catalogo_Servicios!$C$4:$C$24,MATCH(C643,Catalogo_Servicios!$A$4:$A$24,0))</f>
        <v>Declaración mensual de retenciones (D-103)</v>
      </c>
      <c r="F643" s="14">
        <v>0.25</v>
      </c>
      <c r="G643" s="15">
        <f>Parametros!$B$4</f>
        <v>28681</v>
      </c>
      <c r="H643" s="14">
        <f>INDEX(Clientes!$E$4:$E$15,MATCH(B643,Clientes!$A$4:$A$15,0))</f>
        <v>1</v>
      </c>
      <c r="I643" s="15">
        <f t="shared" si="9"/>
        <v>7170</v>
      </c>
    </row>
    <row r="644" spans="1:9" x14ac:dyDescent="0.3">
      <c r="A644" s="13">
        <v>46143</v>
      </c>
      <c r="B644" t="s">
        <v>31</v>
      </c>
      <c r="C644" t="s">
        <v>65</v>
      </c>
      <c r="D644" t="str">
        <f>INDEX(Clientes!$B$4:$B$15,MATCH(B644,Clientes!$A$4:$A$15,0))</f>
        <v>Clínica Dental Sonrisa</v>
      </c>
      <c r="E644" t="str">
        <f>INDEX(Catalogo_Servicios!$C$4:$C$24,MATCH(C644,Catalogo_Servicios!$A$4:$A$24,0))</f>
        <v>Declaración mensual de IVA (D-104)</v>
      </c>
      <c r="F644" s="14">
        <v>0.75</v>
      </c>
      <c r="G644" s="15">
        <f>Parametros!$B$4</f>
        <v>28681</v>
      </c>
      <c r="H644" s="14">
        <f>INDEX(Clientes!$E$4:$E$15,MATCH(B644,Clientes!$A$4:$A$15,0))</f>
        <v>1.1000000000000001</v>
      </c>
      <c r="I644" s="15">
        <f t="shared" ref="I644:I707" si="10">ROUND(F644*G644*H644,0)</f>
        <v>23662</v>
      </c>
    </row>
    <row r="645" spans="1:9" x14ac:dyDescent="0.3">
      <c r="A645" s="13">
        <v>46143</v>
      </c>
      <c r="B645" t="s">
        <v>32</v>
      </c>
      <c r="C645" t="s">
        <v>65</v>
      </c>
      <c r="D645" t="str">
        <f>INDEX(Clientes!$B$4:$B$15,MATCH(B645,Clientes!$A$4:$A$15,0))</f>
        <v>Soda y Restaurante Doña Lela</v>
      </c>
      <c r="E645" t="str">
        <f>INDEX(Catalogo_Servicios!$C$4:$C$24,MATCH(C645,Catalogo_Servicios!$A$4:$A$24,0))</f>
        <v>Declaración mensual de IVA (D-104)</v>
      </c>
      <c r="F645" s="14">
        <v>1</v>
      </c>
      <c r="G645" s="15">
        <f>Parametros!$B$4</f>
        <v>28681</v>
      </c>
      <c r="H645" s="14">
        <f>INDEX(Clientes!$E$4:$E$15,MATCH(B645,Clientes!$A$4:$A$15,0))</f>
        <v>1</v>
      </c>
      <c r="I645" s="15">
        <f t="shared" si="10"/>
        <v>28681</v>
      </c>
    </row>
    <row r="646" spans="1:9" x14ac:dyDescent="0.3">
      <c r="A646" s="13">
        <v>46143</v>
      </c>
      <c r="B646" t="s">
        <v>33</v>
      </c>
      <c r="C646" t="s">
        <v>65</v>
      </c>
      <c r="D646" t="str">
        <f>INDEX(Clientes!$B$4:$B$15,MATCH(B646,Clientes!$A$4:$A$15,0))</f>
        <v>Transportes Rápidos del Valle</v>
      </c>
      <c r="E646" t="str">
        <f>INDEX(Catalogo_Servicios!$C$4:$C$24,MATCH(C646,Catalogo_Servicios!$A$4:$A$24,0))</f>
        <v>Declaración mensual de IVA (D-104)</v>
      </c>
      <c r="F646" s="14">
        <v>0.75</v>
      </c>
      <c r="G646" s="15">
        <f>Parametros!$B$4</f>
        <v>28681</v>
      </c>
      <c r="H646" s="14">
        <f>INDEX(Clientes!$E$4:$E$15,MATCH(B646,Clientes!$A$4:$A$15,0))</f>
        <v>1</v>
      </c>
      <c r="I646" s="15">
        <f t="shared" si="10"/>
        <v>21511</v>
      </c>
    </row>
    <row r="647" spans="1:9" x14ac:dyDescent="0.3">
      <c r="A647" s="13">
        <v>46143</v>
      </c>
      <c r="B647" t="s">
        <v>33</v>
      </c>
      <c r="C647" t="s">
        <v>66</v>
      </c>
      <c r="D647" t="str">
        <f>INDEX(Clientes!$B$4:$B$15,MATCH(B647,Clientes!$A$4:$A$15,0))</f>
        <v>Transportes Rápidos del Valle</v>
      </c>
      <c r="E647" t="str">
        <f>INDEX(Catalogo_Servicios!$C$4:$C$24,MATCH(C647,Catalogo_Servicios!$A$4:$A$24,0))</f>
        <v>Declaración mensual de retenciones (D-103)</v>
      </c>
      <c r="F647" s="14">
        <v>0.25</v>
      </c>
      <c r="G647" s="15">
        <f>Parametros!$B$4</f>
        <v>28681</v>
      </c>
      <c r="H647" s="14">
        <f>INDEX(Clientes!$E$4:$E$15,MATCH(B647,Clientes!$A$4:$A$15,0))</f>
        <v>1</v>
      </c>
      <c r="I647" s="15">
        <f t="shared" si="10"/>
        <v>7170</v>
      </c>
    </row>
    <row r="648" spans="1:9" x14ac:dyDescent="0.3">
      <c r="A648" s="13">
        <v>46143</v>
      </c>
      <c r="B648" t="s">
        <v>33</v>
      </c>
      <c r="C648" t="s">
        <v>67</v>
      </c>
      <c r="D648" t="str">
        <f>INDEX(Clientes!$B$4:$B$15,MATCH(B648,Clientes!$A$4:$A$15,0))</f>
        <v>Transportes Rápidos del Valle</v>
      </c>
      <c r="E648" t="str">
        <f>INDEX(Catalogo_Servicios!$C$4:$C$24,MATCH(C648,Catalogo_Servicios!$A$4:$A$24,0))</f>
        <v>Cálculo de planillas y cargas sociales (CCSS/INS)</v>
      </c>
      <c r="F648" s="14">
        <v>6.5</v>
      </c>
      <c r="G648" s="15">
        <f>Parametros!$B$4</f>
        <v>28681</v>
      </c>
      <c r="H648" s="14">
        <f>INDEX(Clientes!$E$4:$E$15,MATCH(B648,Clientes!$A$4:$A$15,0))</f>
        <v>1</v>
      </c>
      <c r="I648" s="15">
        <f t="shared" si="10"/>
        <v>186427</v>
      </c>
    </row>
    <row r="649" spans="1:9" x14ac:dyDescent="0.3">
      <c r="A649" s="13">
        <v>46143</v>
      </c>
      <c r="B649" t="s">
        <v>35</v>
      </c>
      <c r="C649" t="s">
        <v>65</v>
      </c>
      <c r="D649" t="str">
        <f>INDEX(Clientes!$B$4:$B$15,MATCH(B649,Clientes!$A$4:$A$15,0))</f>
        <v>Taller Mecánico Hermanos Mora</v>
      </c>
      <c r="E649" t="str">
        <f>INDEX(Catalogo_Servicios!$C$4:$C$24,MATCH(C649,Catalogo_Servicios!$A$4:$A$24,0))</f>
        <v>Declaración mensual de IVA (D-104)</v>
      </c>
      <c r="F649" s="14">
        <v>1</v>
      </c>
      <c r="G649" s="15">
        <f>Parametros!$B$4</f>
        <v>28681</v>
      </c>
      <c r="H649" s="14">
        <f>INDEX(Clientes!$E$4:$E$15,MATCH(B649,Clientes!$A$4:$A$15,0))</f>
        <v>1</v>
      </c>
      <c r="I649" s="15">
        <f t="shared" si="10"/>
        <v>28681</v>
      </c>
    </row>
    <row r="650" spans="1:9" x14ac:dyDescent="0.3">
      <c r="A650" s="13">
        <v>46143</v>
      </c>
      <c r="B650" t="s">
        <v>36</v>
      </c>
      <c r="C650" t="s">
        <v>65</v>
      </c>
      <c r="D650" t="str">
        <f>INDEX(Clientes!$B$4:$B$15,MATCH(B650,Clientes!$A$4:$A$15,0))</f>
        <v>Agroservicios Cartago</v>
      </c>
      <c r="E650" t="str">
        <f>INDEX(Catalogo_Servicios!$C$4:$C$24,MATCH(C650,Catalogo_Servicios!$A$4:$A$24,0))</f>
        <v>Declaración mensual de IVA (D-104)</v>
      </c>
      <c r="F650" s="14">
        <v>0.75</v>
      </c>
      <c r="G650" s="15">
        <f>Parametros!$B$4</f>
        <v>28681</v>
      </c>
      <c r="H650" s="14">
        <f>INDEX(Clientes!$E$4:$E$15,MATCH(B650,Clientes!$A$4:$A$15,0))</f>
        <v>1</v>
      </c>
      <c r="I650" s="15">
        <f t="shared" si="10"/>
        <v>21511</v>
      </c>
    </row>
    <row r="651" spans="1:9" x14ac:dyDescent="0.3">
      <c r="A651" s="13">
        <v>46143</v>
      </c>
      <c r="B651" t="s">
        <v>36</v>
      </c>
      <c r="C651" t="s">
        <v>66</v>
      </c>
      <c r="D651" t="str">
        <f>INDEX(Clientes!$B$4:$B$15,MATCH(B651,Clientes!$A$4:$A$15,0))</f>
        <v>Agroservicios Cartago</v>
      </c>
      <c r="E651" t="str">
        <f>INDEX(Catalogo_Servicios!$C$4:$C$24,MATCH(C651,Catalogo_Servicios!$A$4:$A$24,0))</f>
        <v>Declaración mensual de retenciones (D-103)</v>
      </c>
      <c r="F651" s="14">
        <v>0.25</v>
      </c>
      <c r="G651" s="15">
        <f>Parametros!$B$4</f>
        <v>28681</v>
      </c>
      <c r="H651" s="14">
        <f>INDEX(Clientes!$E$4:$E$15,MATCH(B651,Clientes!$A$4:$A$15,0))</f>
        <v>1</v>
      </c>
      <c r="I651" s="15">
        <f t="shared" si="10"/>
        <v>7170</v>
      </c>
    </row>
    <row r="652" spans="1:9" x14ac:dyDescent="0.3">
      <c r="A652" s="13">
        <v>46143</v>
      </c>
      <c r="B652" t="s">
        <v>38</v>
      </c>
      <c r="C652" t="s">
        <v>65</v>
      </c>
      <c r="D652" t="str">
        <f>INDEX(Clientes!$B$4:$B$15,MATCH(B652,Clientes!$A$4:$A$15,0))</f>
        <v>Panadería La Espiga</v>
      </c>
      <c r="E652" t="str">
        <f>INDEX(Catalogo_Servicios!$C$4:$C$24,MATCH(C652,Catalogo_Servicios!$A$4:$A$24,0))</f>
        <v>Declaración mensual de IVA (D-104)</v>
      </c>
      <c r="F652" s="14">
        <v>0.75</v>
      </c>
      <c r="G652" s="15">
        <f>Parametros!$B$4</f>
        <v>28681</v>
      </c>
      <c r="H652" s="14">
        <f>INDEX(Clientes!$E$4:$E$15,MATCH(B652,Clientes!$A$4:$A$15,0))</f>
        <v>1</v>
      </c>
      <c r="I652" s="15">
        <f t="shared" si="10"/>
        <v>21511</v>
      </c>
    </row>
    <row r="653" spans="1:9" x14ac:dyDescent="0.3">
      <c r="A653" s="13">
        <v>46143</v>
      </c>
      <c r="B653" t="s">
        <v>38</v>
      </c>
      <c r="C653" t="s">
        <v>67</v>
      </c>
      <c r="D653" t="str">
        <f>INDEX(Clientes!$B$4:$B$15,MATCH(B653,Clientes!$A$4:$A$15,0))</f>
        <v>Panadería La Espiga</v>
      </c>
      <c r="E653" t="str">
        <f>INDEX(Catalogo_Servicios!$C$4:$C$24,MATCH(C653,Catalogo_Servicios!$A$4:$A$24,0))</f>
        <v>Cálculo de planillas y cargas sociales (CCSS/INS)</v>
      </c>
      <c r="F653" s="14">
        <v>7</v>
      </c>
      <c r="G653" s="15">
        <f>Parametros!$B$4</f>
        <v>28681</v>
      </c>
      <c r="H653" s="14">
        <f>INDEX(Clientes!$E$4:$E$15,MATCH(B653,Clientes!$A$4:$A$15,0))</f>
        <v>1</v>
      </c>
      <c r="I653" s="15">
        <f t="shared" si="10"/>
        <v>200767</v>
      </c>
    </row>
    <row r="654" spans="1:9" x14ac:dyDescent="0.3">
      <c r="A654" s="13">
        <v>46174</v>
      </c>
      <c r="B654" t="s">
        <v>29</v>
      </c>
      <c r="C654" t="s">
        <v>64</v>
      </c>
      <c r="D654" t="str">
        <f>INDEX(Clientes!$B$4:$B$15,MATCH(B654,Clientes!$A$4:$A$15,0))</f>
        <v>Distribuidora Los Andes S.A.</v>
      </c>
      <c r="E654" t="str">
        <f>INDEX(Catalogo_Servicios!$C$4:$C$24,MATCH(C654,Catalogo_Servicios!$A$4:$A$24,0))</f>
        <v>Estados financieros mensuales</v>
      </c>
      <c r="F654" s="14">
        <v>3</v>
      </c>
      <c r="G654" s="15">
        <f>Parametros!$B$4</f>
        <v>28681</v>
      </c>
      <c r="H654" s="14">
        <f>INDEX(Clientes!$E$4:$E$15,MATCH(B654,Clientes!$A$4:$A$15,0))</f>
        <v>1</v>
      </c>
      <c r="I654" s="15">
        <f t="shared" si="10"/>
        <v>86043</v>
      </c>
    </row>
    <row r="655" spans="1:9" x14ac:dyDescent="0.3">
      <c r="A655" s="13">
        <v>46174</v>
      </c>
      <c r="B655" t="s">
        <v>29</v>
      </c>
      <c r="C655" t="s">
        <v>65</v>
      </c>
      <c r="D655" t="str">
        <f>INDEX(Clientes!$B$4:$B$15,MATCH(B655,Clientes!$A$4:$A$15,0))</f>
        <v>Distribuidora Los Andes S.A.</v>
      </c>
      <c r="E655" t="str">
        <f>INDEX(Catalogo_Servicios!$C$4:$C$24,MATCH(C655,Catalogo_Servicios!$A$4:$A$24,0))</f>
        <v>Declaración mensual de IVA (D-104)</v>
      </c>
      <c r="F655" s="14">
        <v>0.75</v>
      </c>
      <c r="G655" s="15">
        <f>Parametros!$B$4</f>
        <v>28681</v>
      </c>
      <c r="H655" s="14">
        <f>INDEX(Clientes!$E$4:$E$15,MATCH(B655,Clientes!$A$4:$A$15,0))</f>
        <v>1</v>
      </c>
      <c r="I655" s="15">
        <f t="shared" si="10"/>
        <v>21511</v>
      </c>
    </row>
    <row r="656" spans="1:9" x14ac:dyDescent="0.3">
      <c r="A656" s="13">
        <v>46174</v>
      </c>
      <c r="B656" t="s">
        <v>29</v>
      </c>
      <c r="C656" t="s">
        <v>66</v>
      </c>
      <c r="D656" t="str">
        <f>INDEX(Clientes!$B$4:$B$15,MATCH(B656,Clientes!$A$4:$A$15,0))</f>
        <v>Distribuidora Los Andes S.A.</v>
      </c>
      <c r="E656" t="str">
        <f>INDEX(Catalogo_Servicios!$C$4:$C$24,MATCH(C656,Catalogo_Servicios!$A$4:$A$24,0))</f>
        <v>Declaración mensual de retenciones (D-103)</v>
      </c>
      <c r="F656" s="14">
        <v>0.25</v>
      </c>
      <c r="G656" s="15">
        <f>Parametros!$B$4</f>
        <v>28681</v>
      </c>
      <c r="H656" s="14">
        <f>INDEX(Clientes!$E$4:$E$15,MATCH(B656,Clientes!$A$4:$A$15,0))</f>
        <v>1</v>
      </c>
      <c r="I656" s="15">
        <f t="shared" si="10"/>
        <v>7170</v>
      </c>
    </row>
    <row r="657" spans="1:9" x14ac:dyDescent="0.3">
      <c r="A657" s="13">
        <v>46174</v>
      </c>
      <c r="B657" t="s">
        <v>29</v>
      </c>
      <c r="C657" t="s">
        <v>67</v>
      </c>
      <c r="D657" t="str">
        <f>INDEX(Clientes!$B$4:$B$15,MATCH(B657,Clientes!$A$4:$A$15,0))</f>
        <v>Distribuidora Los Andes S.A.</v>
      </c>
      <c r="E657" t="str">
        <f>INDEX(Catalogo_Servicios!$C$4:$C$24,MATCH(C657,Catalogo_Servicios!$A$4:$A$24,0))</f>
        <v>Cálculo de planillas y cargas sociales (CCSS/INS)</v>
      </c>
      <c r="F657" s="14">
        <v>36</v>
      </c>
      <c r="G657" s="15">
        <f>Parametros!$B$4</f>
        <v>28681</v>
      </c>
      <c r="H657" s="14">
        <f>INDEX(Clientes!$E$4:$E$15,MATCH(B657,Clientes!$A$4:$A$15,0))</f>
        <v>1</v>
      </c>
      <c r="I657" s="15">
        <f t="shared" si="10"/>
        <v>1032516</v>
      </c>
    </row>
    <row r="658" spans="1:9" x14ac:dyDescent="0.3">
      <c r="A658" s="13">
        <v>46174</v>
      </c>
      <c r="B658" t="s">
        <v>30</v>
      </c>
      <c r="C658" t="s">
        <v>64</v>
      </c>
      <c r="D658" t="str">
        <f>INDEX(Clientes!$B$4:$B$15,MATCH(B658,Clientes!$A$4:$A$15,0))</f>
        <v>Ferretería El Tornillo</v>
      </c>
      <c r="E658" t="str">
        <f>INDEX(Catalogo_Servicios!$C$4:$C$24,MATCH(C658,Catalogo_Servicios!$A$4:$A$24,0))</f>
        <v>Estados financieros mensuales</v>
      </c>
      <c r="F658" s="14">
        <v>3.5</v>
      </c>
      <c r="G658" s="15">
        <f>Parametros!$B$4</f>
        <v>28681</v>
      </c>
      <c r="H658" s="14">
        <f>INDEX(Clientes!$E$4:$E$15,MATCH(B658,Clientes!$A$4:$A$15,0))</f>
        <v>1</v>
      </c>
      <c r="I658" s="15">
        <f t="shared" si="10"/>
        <v>100384</v>
      </c>
    </row>
    <row r="659" spans="1:9" x14ac:dyDescent="0.3">
      <c r="A659" s="13">
        <v>46174</v>
      </c>
      <c r="B659" t="s">
        <v>30</v>
      </c>
      <c r="C659" t="s">
        <v>65</v>
      </c>
      <c r="D659" t="str">
        <f>INDEX(Clientes!$B$4:$B$15,MATCH(B659,Clientes!$A$4:$A$15,0))</f>
        <v>Ferretería El Tornillo</v>
      </c>
      <c r="E659" t="str">
        <f>INDEX(Catalogo_Servicios!$C$4:$C$24,MATCH(C659,Catalogo_Servicios!$A$4:$A$24,0))</f>
        <v>Declaración mensual de IVA (D-104)</v>
      </c>
      <c r="F659" s="14">
        <v>0.75</v>
      </c>
      <c r="G659" s="15">
        <f>Parametros!$B$4</f>
        <v>28681</v>
      </c>
      <c r="H659" s="14">
        <f>INDEX(Clientes!$E$4:$E$15,MATCH(B659,Clientes!$A$4:$A$15,0))</f>
        <v>1</v>
      </c>
      <c r="I659" s="15">
        <f t="shared" si="10"/>
        <v>21511</v>
      </c>
    </row>
    <row r="660" spans="1:9" x14ac:dyDescent="0.3">
      <c r="A660" s="13">
        <v>46174</v>
      </c>
      <c r="B660" t="s">
        <v>30</v>
      </c>
      <c r="C660" t="s">
        <v>66</v>
      </c>
      <c r="D660" t="str">
        <f>INDEX(Clientes!$B$4:$B$15,MATCH(B660,Clientes!$A$4:$A$15,0))</f>
        <v>Ferretería El Tornillo</v>
      </c>
      <c r="E660" t="str">
        <f>INDEX(Catalogo_Servicios!$C$4:$C$24,MATCH(C660,Catalogo_Servicios!$A$4:$A$24,0))</f>
        <v>Declaración mensual de retenciones (D-103)</v>
      </c>
      <c r="F660" s="14">
        <v>0.25</v>
      </c>
      <c r="G660" s="15">
        <f>Parametros!$B$4</f>
        <v>28681</v>
      </c>
      <c r="H660" s="14">
        <f>INDEX(Clientes!$E$4:$E$15,MATCH(B660,Clientes!$A$4:$A$15,0))</f>
        <v>1</v>
      </c>
      <c r="I660" s="15">
        <f t="shared" si="10"/>
        <v>7170</v>
      </c>
    </row>
    <row r="661" spans="1:9" x14ac:dyDescent="0.3">
      <c r="A661" s="13">
        <v>46174</v>
      </c>
      <c r="B661" t="s">
        <v>31</v>
      </c>
      <c r="C661" t="s">
        <v>65</v>
      </c>
      <c r="D661" t="str">
        <f>INDEX(Clientes!$B$4:$B$15,MATCH(B661,Clientes!$A$4:$A$15,0))</f>
        <v>Clínica Dental Sonrisa</v>
      </c>
      <c r="E661" t="str">
        <f>INDEX(Catalogo_Servicios!$C$4:$C$24,MATCH(C661,Catalogo_Servicios!$A$4:$A$24,0))</f>
        <v>Declaración mensual de IVA (D-104)</v>
      </c>
      <c r="F661" s="14">
        <v>0.75</v>
      </c>
      <c r="G661" s="15">
        <f>Parametros!$B$4</f>
        <v>28681</v>
      </c>
      <c r="H661" s="14">
        <f>INDEX(Clientes!$E$4:$E$15,MATCH(B661,Clientes!$A$4:$A$15,0))</f>
        <v>1.1000000000000001</v>
      </c>
      <c r="I661" s="15">
        <f t="shared" si="10"/>
        <v>23662</v>
      </c>
    </row>
    <row r="662" spans="1:9" x14ac:dyDescent="0.3">
      <c r="A662" s="13">
        <v>46174</v>
      </c>
      <c r="B662" t="s">
        <v>32</v>
      </c>
      <c r="C662" t="s">
        <v>65</v>
      </c>
      <c r="D662" t="str">
        <f>INDEX(Clientes!$B$4:$B$15,MATCH(B662,Clientes!$A$4:$A$15,0))</f>
        <v>Soda y Restaurante Doña Lela</v>
      </c>
      <c r="E662" t="str">
        <f>INDEX(Catalogo_Servicios!$C$4:$C$24,MATCH(C662,Catalogo_Servicios!$A$4:$A$24,0))</f>
        <v>Declaración mensual de IVA (D-104)</v>
      </c>
      <c r="F662" s="14">
        <v>1</v>
      </c>
      <c r="G662" s="15">
        <f>Parametros!$B$4</f>
        <v>28681</v>
      </c>
      <c r="H662" s="14">
        <f>INDEX(Clientes!$E$4:$E$15,MATCH(B662,Clientes!$A$4:$A$15,0))</f>
        <v>1</v>
      </c>
      <c r="I662" s="15">
        <f t="shared" si="10"/>
        <v>28681</v>
      </c>
    </row>
    <row r="663" spans="1:9" x14ac:dyDescent="0.3">
      <c r="A663" s="13">
        <v>46174</v>
      </c>
      <c r="B663" t="s">
        <v>33</v>
      </c>
      <c r="C663" t="s">
        <v>65</v>
      </c>
      <c r="D663" t="str">
        <f>INDEX(Clientes!$B$4:$B$15,MATCH(B663,Clientes!$A$4:$A$15,0))</f>
        <v>Transportes Rápidos del Valle</v>
      </c>
      <c r="E663" t="str">
        <f>INDEX(Catalogo_Servicios!$C$4:$C$24,MATCH(C663,Catalogo_Servicios!$A$4:$A$24,0))</f>
        <v>Declaración mensual de IVA (D-104)</v>
      </c>
      <c r="F663" s="14">
        <v>0.75</v>
      </c>
      <c r="G663" s="15">
        <f>Parametros!$B$4</f>
        <v>28681</v>
      </c>
      <c r="H663" s="14">
        <f>INDEX(Clientes!$E$4:$E$15,MATCH(B663,Clientes!$A$4:$A$15,0))</f>
        <v>1</v>
      </c>
      <c r="I663" s="15">
        <f t="shared" si="10"/>
        <v>21511</v>
      </c>
    </row>
    <row r="664" spans="1:9" x14ac:dyDescent="0.3">
      <c r="A664" s="13">
        <v>46174</v>
      </c>
      <c r="B664" t="s">
        <v>33</v>
      </c>
      <c r="C664" t="s">
        <v>66</v>
      </c>
      <c r="D664" t="str">
        <f>INDEX(Clientes!$B$4:$B$15,MATCH(B664,Clientes!$A$4:$A$15,0))</f>
        <v>Transportes Rápidos del Valle</v>
      </c>
      <c r="E664" t="str">
        <f>INDEX(Catalogo_Servicios!$C$4:$C$24,MATCH(C664,Catalogo_Servicios!$A$4:$A$24,0))</f>
        <v>Declaración mensual de retenciones (D-103)</v>
      </c>
      <c r="F664" s="14">
        <v>0.25</v>
      </c>
      <c r="G664" s="15">
        <f>Parametros!$B$4</f>
        <v>28681</v>
      </c>
      <c r="H664" s="14">
        <f>INDEX(Clientes!$E$4:$E$15,MATCH(B664,Clientes!$A$4:$A$15,0))</f>
        <v>1</v>
      </c>
      <c r="I664" s="15">
        <f t="shared" si="10"/>
        <v>7170</v>
      </c>
    </row>
    <row r="665" spans="1:9" x14ac:dyDescent="0.3">
      <c r="A665" s="13">
        <v>46174</v>
      </c>
      <c r="B665" t="s">
        <v>33</v>
      </c>
      <c r="C665" t="s">
        <v>67</v>
      </c>
      <c r="D665" t="str">
        <f>INDEX(Clientes!$B$4:$B$15,MATCH(B665,Clientes!$A$4:$A$15,0))</f>
        <v>Transportes Rápidos del Valle</v>
      </c>
      <c r="E665" t="str">
        <f>INDEX(Catalogo_Servicios!$C$4:$C$24,MATCH(C665,Catalogo_Servicios!$A$4:$A$24,0))</f>
        <v>Cálculo de planillas y cargas sociales (CCSS/INS)</v>
      </c>
      <c r="F665" s="14">
        <v>6.5</v>
      </c>
      <c r="G665" s="15">
        <f>Parametros!$B$4</f>
        <v>28681</v>
      </c>
      <c r="H665" s="14">
        <f>INDEX(Clientes!$E$4:$E$15,MATCH(B665,Clientes!$A$4:$A$15,0))</f>
        <v>1</v>
      </c>
      <c r="I665" s="15">
        <f t="shared" si="10"/>
        <v>186427</v>
      </c>
    </row>
    <row r="666" spans="1:9" x14ac:dyDescent="0.3">
      <c r="A666" s="13">
        <v>46174</v>
      </c>
      <c r="B666" t="s">
        <v>35</v>
      </c>
      <c r="C666" t="s">
        <v>65</v>
      </c>
      <c r="D666" t="str">
        <f>INDEX(Clientes!$B$4:$B$15,MATCH(B666,Clientes!$A$4:$A$15,0))</f>
        <v>Taller Mecánico Hermanos Mora</v>
      </c>
      <c r="E666" t="str">
        <f>INDEX(Catalogo_Servicios!$C$4:$C$24,MATCH(C666,Catalogo_Servicios!$A$4:$A$24,0))</f>
        <v>Declaración mensual de IVA (D-104)</v>
      </c>
      <c r="F666" s="14">
        <v>1</v>
      </c>
      <c r="G666" s="15">
        <f>Parametros!$B$4</f>
        <v>28681</v>
      </c>
      <c r="H666" s="14">
        <f>INDEX(Clientes!$E$4:$E$15,MATCH(B666,Clientes!$A$4:$A$15,0))</f>
        <v>1</v>
      </c>
      <c r="I666" s="15">
        <f t="shared" si="10"/>
        <v>28681</v>
      </c>
    </row>
    <row r="667" spans="1:9" x14ac:dyDescent="0.3">
      <c r="A667" s="13">
        <v>46174</v>
      </c>
      <c r="B667" t="s">
        <v>36</v>
      </c>
      <c r="C667" t="s">
        <v>65</v>
      </c>
      <c r="D667" t="str">
        <f>INDEX(Clientes!$B$4:$B$15,MATCH(B667,Clientes!$A$4:$A$15,0))</f>
        <v>Agroservicios Cartago</v>
      </c>
      <c r="E667" t="str">
        <f>INDEX(Catalogo_Servicios!$C$4:$C$24,MATCH(C667,Catalogo_Servicios!$A$4:$A$24,0))</f>
        <v>Declaración mensual de IVA (D-104)</v>
      </c>
      <c r="F667" s="14">
        <v>1</v>
      </c>
      <c r="G667" s="15">
        <f>Parametros!$B$4</f>
        <v>28681</v>
      </c>
      <c r="H667" s="14">
        <f>INDEX(Clientes!$E$4:$E$15,MATCH(B667,Clientes!$A$4:$A$15,0))</f>
        <v>1</v>
      </c>
      <c r="I667" s="15">
        <f t="shared" si="10"/>
        <v>28681</v>
      </c>
    </row>
    <row r="668" spans="1:9" x14ac:dyDescent="0.3">
      <c r="A668" s="13">
        <v>46174</v>
      </c>
      <c r="B668" t="s">
        <v>36</v>
      </c>
      <c r="C668" t="s">
        <v>66</v>
      </c>
      <c r="D668" t="str">
        <f>INDEX(Clientes!$B$4:$B$15,MATCH(B668,Clientes!$A$4:$A$15,0))</f>
        <v>Agroservicios Cartago</v>
      </c>
      <c r="E668" t="str">
        <f>INDEX(Catalogo_Servicios!$C$4:$C$24,MATCH(C668,Catalogo_Servicios!$A$4:$A$24,0))</f>
        <v>Declaración mensual de retenciones (D-103)</v>
      </c>
      <c r="F668" s="14">
        <v>0.25</v>
      </c>
      <c r="G668" s="15">
        <f>Parametros!$B$4</f>
        <v>28681</v>
      </c>
      <c r="H668" s="14">
        <f>INDEX(Clientes!$E$4:$E$15,MATCH(B668,Clientes!$A$4:$A$15,0))</f>
        <v>1</v>
      </c>
      <c r="I668" s="15">
        <f t="shared" si="10"/>
        <v>7170</v>
      </c>
    </row>
    <row r="669" spans="1:9" x14ac:dyDescent="0.3">
      <c r="A669" s="13">
        <v>46174</v>
      </c>
      <c r="B669" t="s">
        <v>38</v>
      </c>
      <c r="C669" t="s">
        <v>65</v>
      </c>
      <c r="D669" t="str">
        <f>INDEX(Clientes!$B$4:$B$15,MATCH(B669,Clientes!$A$4:$A$15,0))</f>
        <v>Panadería La Espiga</v>
      </c>
      <c r="E669" t="str">
        <f>INDEX(Catalogo_Servicios!$C$4:$C$24,MATCH(C669,Catalogo_Servicios!$A$4:$A$24,0))</f>
        <v>Declaración mensual de IVA (D-104)</v>
      </c>
      <c r="F669" s="14">
        <v>1</v>
      </c>
      <c r="G669" s="15">
        <f>Parametros!$B$4</f>
        <v>28681</v>
      </c>
      <c r="H669" s="14">
        <f>INDEX(Clientes!$E$4:$E$15,MATCH(B669,Clientes!$A$4:$A$15,0))</f>
        <v>1</v>
      </c>
      <c r="I669" s="15">
        <f t="shared" si="10"/>
        <v>28681</v>
      </c>
    </row>
    <row r="670" spans="1:9" x14ac:dyDescent="0.3">
      <c r="A670" s="13">
        <v>46174</v>
      </c>
      <c r="B670" t="s">
        <v>38</v>
      </c>
      <c r="C670" t="s">
        <v>67</v>
      </c>
      <c r="D670" t="str">
        <f>INDEX(Clientes!$B$4:$B$15,MATCH(B670,Clientes!$A$4:$A$15,0))</f>
        <v>Panadería La Espiga</v>
      </c>
      <c r="E670" t="str">
        <f>INDEX(Catalogo_Servicios!$C$4:$C$24,MATCH(C670,Catalogo_Servicios!$A$4:$A$24,0))</f>
        <v>Cálculo de planillas y cargas sociales (CCSS/INS)</v>
      </c>
      <c r="F670" s="14">
        <v>7</v>
      </c>
      <c r="G670" s="15">
        <f>Parametros!$B$4</f>
        <v>28681</v>
      </c>
      <c r="H670" s="14">
        <f>INDEX(Clientes!$E$4:$E$15,MATCH(B670,Clientes!$A$4:$A$15,0))</f>
        <v>1</v>
      </c>
      <c r="I670" s="15">
        <f t="shared" si="10"/>
        <v>200767</v>
      </c>
    </row>
    <row r="671" spans="1:9" x14ac:dyDescent="0.3">
      <c r="A671" s="13">
        <v>46204</v>
      </c>
      <c r="B671" t="s">
        <v>29</v>
      </c>
      <c r="C671" t="s">
        <v>64</v>
      </c>
      <c r="D671" t="str">
        <f>INDEX(Clientes!$B$4:$B$15,MATCH(B671,Clientes!$A$4:$A$15,0))</f>
        <v>Distribuidora Los Andes S.A.</v>
      </c>
      <c r="E671" t="str">
        <f>INDEX(Catalogo_Servicios!$C$4:$C$24,MATCH(C671,Catalogo_Servicios!$A$4:$A$24,0))</f>
        <v>Estados financieros mensuales</v>
      </c>
      <c r="F671" s="14">
        <v>3</v>
      </c>
      <c r="G671" s="15">
        <f>Parametros!$B$4</f>
        <v>28681</v>
      </c>
      <c r="H671" s="14">
        <f>INDEX(Clientes!$E$4:$E$15,MATCH(B671,Clientes!$A$4:$A$15,0))</f>
        <v>1</v>
      </c>
      <c r="I671" s="15">
        <f t="shared" si="10"/>
        <v>86043</v>
      </c>
    </row>
    <row r="672" spans="1:9" x14ac:dyDescent="0.3">
      <c r="A672" s="13">
        <v>46204</v>
      </c>
      <c r="B672" t="s">
        <v>29</v>
      </c>
      <c r="C672" t="s">
        <v>65</v>
      </c>
      <c r="D672" t="str">
        <f>INDEX(Clientes!$B$4:$B$15,MATCH(B672,Clientes!$A$4:$A$15,0))</f>
        <v>Distribuidora Los Andes S.A.</v>
      </c>
      <c r="E672" t="str">
        <f>INDEX(Catalogo_Servicios!$C$4:$C$24,MATCH(C672,Catalogo_Servicios!$A$4:$A$24,0))</f>
        <v>Declaración mensual de IVA (D-104)</v>
      </c>
      <c r="F672" s="14">
        <v>0.75</v>
      </c>
      <c r="G672" s="15">
        <f>Parametros!$B$4</f>
        <v>28681</v>
      </c>
      <c r="H672" s="14">
        <f>INDEX(Clientes!$E$4:$E$15,MATCH(B672,Clientes!$A$4:$A$15,0))</f>
        <v>1</v>
      </c>
      <c r="I672" s="15">
        <f t="shared" si="10"/>
        <v>21511</v>
      </c>
    </row>
    <row r="673" spans="1:9" x14ac:dyDescent="0.3">
      <c r="A673" s="13">
        <v>46204</v>
      </c>
      <c r="B673" t="s">
        <v>29</v>
      </c>
      <c r="C673" t="s">
        <v>66</v>
      </c>
      <c r="D673" t="str">
        <f>INDEX(Clientes!$B$4:$B$15,MATCH(B673,Clientes!$A$4:$A$15,0))</f>
        <v>Distribuidora Los Andes S.A.</v>
      </c>
      <c r="E673" t="str">
        <f>INDEX(Catalogo_Servicios!$C$4:$C$24,MATCH(C673,Catalogo_Servicios!$A$4:$A$24,0))</f>
        <v>Declaración mensual de retenciones (D-103)</v>
      </c>
      <c r="F673" s="14">
        <v>0.25</v>
      </c>
      <c r="G673" s="15">
        <f>Parametros!$B$4</f>
        <v>28681</v>
      </c>
      <c r="H673" s="14">
        <f>INDEX(Clientes!$E$4:$E$15,MATCH(B673,Clientes!$A$4:$A$15,0))</f>
        <v>1</v>
      </c>
      <c r="I673" s="15">
        <f t="shared" si="10"/>
        <v>7170</v>
      </c>
    </row>
    <row r="674" spans="1:9" x14ac:dyDescent="0.3">
      <c r="A674" s="13">
        <v>46204</v>
      </c>
      <c r="B674" t="s">
        <v>29</v>
      </c>
      <c r="C674" t="s">
        <v>67</v>
      </c>
      <c r="D674" t="str">
        <f>INDEX(Clientes!$B$4:$B$15,MATCH(B674,Clientes!$A$4:$A$15,0))</f>
        <v>Distribuidora Los Andes S.A.</v>
      </c>
      <c r="E674" t="str">
        <f>INDEX(Catalogo_Servicios!$C$4:$C$24,MATCH(C674,Catalogo_Servicios!$A$4:$A$24,0))</f>
        <v>Cálculo de planillas y cargas sociales (CCSS/INS)</v>
      </c>
      <c r="F674" s="14">
        <v>22</v>
      </c>
      <c r="G674" s="15">
        <f>Parametros!$B$4</f>
        <v>28681</v>
      </c>
      <c r="H674" s="14">
        <f>INDEX(Clientes!$E$4:$E$15,MATCH(B674,Clientes!$A$4:$A$15,0))</f>
        <v>1</v>
      </c>
      <c r="I674" s="15">
        <f t="shared" si="10"/>
        <v>630982</v>
      </c>
    </row>
    <row r="675" spans="1:9" x14ac:dyDescent="0.3">
      <c r="A675" s="13">
        <v>46204</v>
      </c>
      <c r="B675" t="s">
        <v>30</v>
      </c>
      <c r="C675" t="s">
        <v>64</v>
      </c>
      <c r="D675" t="str">
        <f>INDEX(Clientes!$B$4:$B$15,MATCH(B675,Clientes!$A$4:$A$15,0))</f>
        <v>Ferretería El Tornillo</v>
      </c>
      <c r="E675" t="str">
        <f>INDEX(Catalogo_Servicios!$C$4:$C$24,MATCH(C675,Catalogo_Servicios!$A$4:$A$24,0))</f>
        <v>Estados financieros mensuales</v>
      </c>
      <c r="F675" s="14">
        <v>3.5</v>
      </c>
      <c r="G675" s="15">
        <f>Parametros!$B$4</f>
        <v>28681</v>
      </c>
      <c r="H675" s="14">
        <f>INDEX(Clientes!$E$4:$E$15,MATCH(B675,Clientes!$A$4:$A$15,0))</f>
        <v>1</v>
      </c>
      <c r="I675" s="15">
        <f t="shared" si="10"/>
        <v>100384</v>
      </c>
    </row>
    <row r="676" spans="1:9" x14ac:dyDescent="0.3">
      <c r="A676" s="13">
        <v>46204</v>
      </c>
      <c r="B676" t="s">
        <v>30</v>
      </c>
      <c r="C676" t="s">
        <v>65</v>
      </c>
      <c r="D676" t="str">
        <f>INDEX(Clientes!$B$4:$B$15,MATCH(B676,Clientes!$A$4:$A$15,0))</f>
        <v>Ferretería El Tornillo</v>
      </c>
      <c r="E676" t="str">
        <f>INDEX(Catalogo_Servicios!$C$4:$C$24,MATCH(C676,Catalogo_Servicios!$A$4:$A$24,0))</f>
        <v>Declaración mensual de IVA (D-104)</v>
      </c>
      <c r="F676" s="14">
        <v>0.75</v>
      </c>
      <c r="G676" s="15">
        <f>Parametros!$B$4</f>
        <v>28681</v>
      </c>
      <c r="H676" s="14">
        <f>INDEX(Clientes!$E$4:$E$15,MATCH(B676,Clientes!$A$4:$A$15,0))</f>
        <v>1</v>
      </c>
      <c r="I676" s="15">
        <f t="shared" si="10"/>
        <v>21511</v>
      </c>
    </row>
    <row r="677" spans="1:9" x14ac:dyDescent="0.3">
      <c r="A677" s="13">
        <v>46204</v>
      </c>
      <c r="B677" t="s">
        <v>30</v>
      </c>
      <c r="C677" t="s">
        <v>66</v>
      </c>
      <c r="D677" t="str">
        <f>INDEX(Clientes!$B$4:$B$15,MATCH(B677,Clientes!$A$4:$A$15,0))</f>
        <v>Ferretería El Tornillo</v>
      </c>
      <c r="E677" t="str">
        <f>INDEX(Catalogo_Servicios!$C$4:$C$24,MATCH(C677,Catalogo_Servicios!$A$4:$A$24,0))</f>
        <v>Declaración mensual de retenciones (D-103)</v>
      </c>
      <c r="F677" s="14">
        <v>0.25</v>
      </c>
      <c r="G677" s="15">
        <f>Parametros!$B$4</f>
        <v>28681</v>
      </c>
      <c r="H677" s="14">
        <f>INDEX(Clientes!$E$4:$E$15,MATCH(B677,Clientes!$A$4:$A$15,0))</f>
        <v>1</v>
      </c>
      <c r="I677" s="15">
        <f t="shared" si="10"/>
        <v>7170</v>
      </c>
    </row>
    <row r="678" spans="1:9" x14ac:dyDescent="0.3">
      <c r="A678" s="13">
        <v>46204</v>
      </c>
      <c r="B678" t="s">
        <v>31</v>
      </c>
      <c r="C678" t="s">
        <v>65</v>
      </c>
      <c r="D678" t="str">
        <f>INDEX(Clientes!$B$4:$B$15,MATCH(B678,Clientes!$A$4:$A$15,0))</f>
        <v>Clínica Dental Sonrisa</v>
      </c>
      <c r="E678" t="str">
        <f>INDEX(Catalogo_Servicios!$C$4:$C$24,MATCH(C678,Catalogo_Servicios!$A$4:$A$24,0))</f>
        <v>Declaración mensual de IVA (D-104)</v>
      </c>
      <c r="F678" s="14">
        <v>0.75</v>
      </c>
      <c r="G678" s="15">
        <f>Parametros!$B$4</f>
        <v>28681</v>
      </c>
      <c r="H678" s="14">
        <f>INDEX(Clientes!$E$4:$E$15,MATCH(B678,Clientes!$A$4:$A$15,0))</f>
        <v>1.1000000000000001</v>
      </c>
      <c r="I678" s="15">
        <f t="shared" si="10"/>
        <v>23662</v>
      </c>
    </row>
    <row r="679" spans="1:9" x14ac:dyDescent="0.3">
      <c r="A679" s="13">
        <v>46204</v>
      </c>
      <c r="B679" t="s">
        <v>32</v>
      </c>
      <c r="C679" t="s">
        <v>65</v>
      </c>
      <c r="D679" t="str">
        <f>INDEX(Clientes!$B$4:$B$15,MATCH(B679,Clientes!$A$4:$A$15,0))</f>
        <v>Soda y Restaurante Doña Lela</v>
      </c>
      <c r="E679" t="str">
        <f>INDEX(Catalogo_Servicios!$C$4:$C$24,MATCH(C679,Catalogo_Servicios!$A$4:$A$24,0))</f>
        <v>Declaración mensual de IVA (D-104)</v>
      </c>
      <c r="F679" s="14">
        <v>1</v>
      </c>
      <c r="G679" s="15">
        <f>Parametros!$B$4</f>
        <v>28681</v>
      </c>
      <c r="H679" s="14">
        <f>INDEX(Clientes!$E$4:$E$15,MATCH(B679,Clientes!$A$4:$A$15,0))</f>
        <v>1</v>
      </c>
      <c r="I679" s="15">
        <f t="shared" si="10"/>
        <v>28681</v>
      </c>
    </row>
    <row r="680" spans="1:9" x14ac:dyDescent="0.3">
      <c r="A680" s="13">
        <v>46204</v>
      </c>
      <c r="B680" t="s">
        <v>33</v>
      </c>
      <c r="C680" t="s">
        <v>65</v>
      </c>
      <c r="D680" t="str">
        <f>INDEX(Clientes!$B$4:$B$15,MATCH(B680,Clientes!$A$4:$A$15,0))</f>
        <v>Transportes Rápidos del Valle</v>
      </c>
      <c r="E680" t="str">
        <f>INDEX(Catalogo_Servicios!$C$4:$C$24,MATCH(C680,Catalogo_Servicios!$A$4:$A$24,0))</f>
        <v>Declaración mensual de IVA (D-104)</v>
      </c>
      <c r="F680" s="14">
        <v>0.75</v>
      </c>
      <c r="G680" s="15">
        <f>Parametros!$B$4</f>
        <v>28681</v>
      </c>
      <c r="H680" s="14">
        <f>INDEX(Clientes!$E$4:$E$15,MATCH(B680,Clientes!$A$4:$A$15,0))</f>
        <v>1</v>
      </c>
      <c r="I680" s="15">
        <f t="shared" si="10"/>
        <v>21511</v>
      </c>
    </row>
    <row r="681" spans="1:9" x14ac:dyDescent="0.3">
      <c r="A681" s="13">
        <v>46204</v>
      </c>
      <c r="B681" t="s">
        <v>33</v>
      </c>
      <c r="C681" t="s">
        <v>66</v>
      </c>
      <c r="D681" t="str">
        <f>INDEX(Clientes!$B$4:$B$15,MATCH(B681,Clientes!$A$4:$A$15,0))</f>
        <v>Transportes Rápidos del Valle</v>
      </c>
      <c r="E681" t="str">
        <f>INDEX(Catalogo_Servicios!$C$4:$C$24,MATCH(C681,Catalogo_Servicios!$A$4:$A$24,0))</f>
        <v>Declaración mensual de retenciones (D-103)</v>
      </c>
      <c r="F681" s="14">
        <v>0.25</v>
      </c>
      <c r="G681" s="15">
        <f>Parametros!$B$4</f>
        <v>28681</v>
      </c>
      <c r="H681" s="14">
        <f>INDEX(Clientes!$E$4:$E$15,MATCH(B681,Clientes!$A$4:$A$15,0))</f>
        <v>1</v>
      </c>
      <c r="I681" s="15">
        <f t="shared" si="10"/>
        <v>7170</v>
      </c>
    </row>
    <row r="682" spans="1:9" x14ac:dyDescent="0.3">
      <c r="A682" s="13">
        <v>46204</v>
      </c>
      <c r="B682" t="s">
        <v>33</v>
      </c>
      <c r="C682" t="s">
        <v>67</v>
      </c>
      <c r="D682" t="str">
        <f>INDEX(Clientes!$B$4:$B$15,MATCH(B682,Clientes!$A$4:$A$15,0))</f>
        <v>Transportes Rápidos del Valle</v>
      </c>
      <c r="E682" t="str">
        <f>INDEX(Catalogo_Servicios!$C$4:$C$24,MATCH(C682,Catalogo_Servicios!$A$4:$A$24,0))</f>
        <v>Cálculo de planillas y cargas sociales (CCSS/INS)</v>
      </c>
      <c r="F682" s="14">
        <v>6.5</v>
      </c>
      <c r="G682" s="15">
        <f>Parametros!$B$4</f>
        <v>28681</v>
      </c>
      <c r="H682" s="14">
        <f>INDEX(Clientes!$E$4:$E$15,MATCH(B682,Clientes!$A$4:$A$15,0))</f>
        <v>1</v>
      </c>
      <c r="I682" s="15">
        <f t="shared" si="10"/>
        <v>186427</v>
      </c>
    </row>
    <row r="683" spans="1:9" x14ac:dyDescent="0.3">
      <c r="A683" s="13">
        <v>46204</v>
      </c>
      <c r="B683" t="s">
        <v>35</v>
      </c>
      <c r="C683" t="s">
        <v>65</v>
      </c>
      <c r="D683" t="str">
        <f>INDEX(Clientes!$B$4:$B$15,MATCH(B683,Clientes!$A$4:$A$15,0))</f>
        <v>Taller Mecánico Hermanos Mora</v>
      </c>
      <c r="E683" t="str">
        <f>INDEX(Catalogo_Servicios!$C$4:$C$24,MATCH(C683,Catalogo_Servicios!$A$4:$A$24,0))</f>
        <v>Declaración mensual de IVA (D-104)</v>
      </c>
      <c r="F683" s="14">
        <v>1</v>
      </c>
      <c r="G683" s="15">
        <f>Parametros!$B$4</f>
        <v>28681</v>
      </c>
      <c r="H683" s="14">
        <f>INDEX(Clientes!$E$4:$E$15,MATCH(B683,Clientes!$A$4:$A$15,0))</f>
        <v>1</v>
      </c>
      <c r="I683" s="15">
        <f t="shared" si="10"/>
        <v>28681</v>
      </c>
    </row>
    <row r="684" spans="1:9" x14ac:dyDescent="0.3">
      <c r="A684" s="13">
        <v>46204</v>
      </c>
      <c r="B684" t="s">
        <v>36</v>
      </c>
      <c r="C684" t="s">
        <v>68</v>
      </c>
      <c r="D684" t="str">
        <f>INDEX(Clientes!$B$4:$B$15,MATCH(B684,Clientes!$A$4:$A$15,0))</f>
        <v>Agroservicios Cartago</v>
      </c>
      <c r="E684" t="str">
        <f>INDEX(Catalogo_Servicios!$C$4:$C$24,MATCH(C684,Catalogo_Servicios!$A$4:$A$24,0))</f>
        <v>Asesoría contable, financiera y tributaria</v>
      </c>
      <c r="F684" s="14">
        <v>1</v>
      </c>
      <c r="G684" s="15">
        <f>Parametros!$B$4</f>
        <v>28681</v>
      </c>
      <c r="H684" s="14">
        <f>INDEX(Clientes!$E$4:$E$15,MATCH(B684,Clientes!$A$4:$A$15,0))</f>
        <v>1</v>
      </c>
      <c r="I684" s="15">
        <f t="shared" si="10"/>
        <v>28681</v>
      </c>
    </row>
    <row r="685" spans="1:9" x14ac:dyDescent="0.3">
      <c r="A685" s="13">
        <v>46204</v>
      </c>
      <c r="B685" t="s">
        <v>36</v>
      </c>
      <c r="C685" t="s">
        <v>65</v>
      </c>
      <c r="D685" t="str">
        <f>INDEX(Clientes!$B$4:$B$15,MATCH(B685,Clientes!$A$4:$A$15,0))</f>
        <v>Agroservicios Cartago</v>
      </c>
      <c r="E685" t="str">
        <f>INDEX(Catalogo_Servicios!$C$4:$C$24,MATCH(C685,Catalogo_Servicios!$A$4:$A$24,0))</f>
        <v>Declaración mensual de IVA (D-104)</v>
      </c>
      <c r="F685" s="14">
        <v>0.75</v>
      </c>
      <c r="G685" s="15">
        <f>Parametros!$B$4</f>
        <v>28681</v>
      </c>
      <c r="H685" s="14">
        <f>INDEX(Clientes!$E$4:$E$15,MATCH(B685,Clientes!$A$4:$A$15,0))</f>
        <v>1</v>
      </c>
      <c r="I685" s="15">
        <f t="shared" si="10"/>
        <v>21511</v>
      </c>
    </row>
    <row r="686" spans="1:9" x14ac:dyDescent="0.3">
      <c r="A686" s="13">
        <v>46204</v>
      </c>
      <c r="B686" t="s">
        <v>36</v>
      </c>
      <c r="C686" t="s">
        <v>66</v>
      </c>
      <c r="D686" t="str">
        <f>INDEX(Clientes!$B$4:$B$15,MATCH(B686,Clientes!$A$4:$A$15,0))</f>
        <v>Agroservicios Cartago</v>
      </c>
      <c r="E686" t="str">
        <f>INDEX(Catalogo_Servicios!$C$4:$C$24,MATCH(C686,Catalogo_Servicios!$A$4:$A$24,0))</f>
        <v>Declaración mensual de retenciones (D-103)</v>
      </c>
      <c r="F686" s="14">
        <v>0.25</v>
      </c>
      <c r="G686" s="15">
        <f>Parametros!$B$4</f>
        <v>28681</v>
      </c>
      <c r="H686" s="14">
        <f>INDEX(Clientes!$E$4:$E$15,MATCH(B686,Clientes!$A$4:$A$15,0))</f>
        <v>1</v>
      </c>
      <c r="I686" s="15">
        <f t="shared" si="10"/>
        <v>7170</v>
      </c>
    </row>
    <row r="687" spans="1:9" x14ac:dyDescent="0.3">
      <c r="A687" s="13">
        <v>46204</v>
      </c>
      <c r="B687" t="s">
        <v>38</v>
      </c>
      <c r="C687" t="s">
        <v>65</v>
      </c>
      <c r="D687" t="str">
        <f>INDEX(Clientes!$B$4:$B$15,MATCH(B687,Clientes!$A$4:$A$15,0))</f>
        <v>Panadería La Espiga</v>
      </c>
      <c r="E687" t="str">
        <f>INDEX(Catalogo_Servicios!$C$4:$C$24,MATCH(C687,Catalogo_Servicios!$A$4:$A$24,0))</f>
        <v>Declaración mensual de IVA (D-104)</v>
      </c>
      <c r="F687" s="14">
        <v>0.75</v>
      </c>
      <c r="G687" s="15">
        <f>Parametros!$B$4</f>
        <v>28681</v>
      </c>
      <c r="H687" s="14">
        <f>INDEX(Clientes!$E$4:$E$15,MATCH(B687,Clientes!$A$4:$A$15,0))</f>
        <v>1</v>
      </c>
      <c r="I687" s="15">
        <f t="shared" si="10"/>
        <v>21511</v>
      </c>
    </row>
    <row r="688" spans="1:9" x14ac:dyDescent="0.3">
      <c r="A688" s="13">
        <v>46204</v>
      </c>
      <c r="B688" t="s">
        <v>38</v>
      </c>
      <c r="C688" t="s">
        <v>67</v>
      </c>
      <c r="D688" t="str">
        <f>INDEX(Clientes!$B$4:$B$15,MATCH(B688,Clientes!$A$4:$A$15,0))</f>
        <v>Panadería La Espiga</v>
      </c>
      <c r="E688" t="str">
        <f>INDEX(Catalogo_Servicios!$C$4:$C$24,MATCH(C688,Catalogo_Servicios!$A$4:$A$24,0))</f>
        <v>Cálculo de planillas y cargas sociales (CCSS/INS)</v>
      </c>
      <c r="F688" s="14">
        <v>7</v>
      </c>
      <c r="G688" s="15">
        <f>Parametros!$B$4</f>
        <v>28681</v>
      </c>
      <c r="H688" s="14">
        <f>INDEX(Clientes!$E$4:$E$15,MATCH(B688,Clientes!$A$4:$A$15,0))</f>
        <v>1</v>
      </c>
      <c r="I688" s="15">
        <f t="shared" si="10"/>
        <v>200767</v>
      </c>
    </row>
    <row r="689" spans="1:9" x14ac:dyDescent="0.3">
      <c r="A689" s="13">
        <v>46235</v>
      </c>
      <c r="B689" t="s">
        <v>29</v>
      </c>
      <c r="C689" t="s">
        <v>64</v>
      </c>
      <c r="D689" t="str">
        <f>INDEX(Clientes!$B$4:$B$15,MATCH(B689,Clientes!$A$4:$A$15,0))</f>
        <v>Distribuidora Los Andes S.A.</v>
      </c>
      <c r="E689" t="str">
        <f>INDEX(Catalogo_Servicios!$C$4:$C$24,MATCH(C689,Catalogo_Servicios!$A$4:$A$24,0))</f>
        <v>Estados financieros mensuales</v>
      </c>
      <c r="F689" s="14">
        <v>3</v>
      </c>
      <c r="G689" s="15">
        <f>Parametros!$B$4</f>
        <v>28681</v>
      </c>
      <c r="H689" s="14">
        <f>INDEX(Clientes!$E$4:$E$15,MATCH(B689,Clientes!$A$4:$A$15,0))</f>
        <v>1</v>
      </c>
      <c r="I689" s="15">
        <f t="shared" si="10"/>
        <v>86043</v>
      </c>
    </row>
    <row r="690" spans="1:9" x14ac:dyDescent="0.3">
      <c r="A690" s="13">
        <v>46235</v>
      </c>
      <c r="B690" t="s">
        <v>29</v>
      </c>
      <c r="C690" t="s">
        <v>65</v>
      </c>
      <c r="D690" t="str">
        <f>INDEX(Clientes!$B$4:$B$15,MATCH(B690,Clientes!$A$4:$A$15,0))</f>
        <v>Distribuidora Los Andes S.A.</v>
      </c>
      <c r="E690" t="str">
        <f>INDEX(Catalogo_Servicios!$C$4:$C$24,MATCH(C690,Catalogo_Servicios!$A$4:$A$24,0))</f>
        <v>Declaración mensual de IVA (D-104)</v>
      </c>
      <c r="F690" s="14">
        <v>0.75</v>
      </c>
      <c r="G690" s="15">
        <f>Parametros!$B$4</f>
        <v>28681</v>
      </c>
      <c r="H690" s="14">
        <f>INDEX(Clientes!$E$4:$E$15,MATCH(B690,Clientes!$A$4:$A$15,0))</f>
        <v>1</v>
      </c>
      <c r="I690" s="15">
        <f t="shared" si="10"/>
        <v>21511</v>
      </c>
    </row>
    <row r="691" spans="1:9" x14ac:dyDescent="0.3">
      <c r="A691" s="13">
        <v>46235</v>
      </c>
      <c r="B691" t="s">
        <v>29</v>
      </c>
      <c r="C691" t="s">
        <v>66</v>
      </c>
      <c r="D691" t="str">
        <f>INDEX(Clientes!$B$4:$B$15,MATCH(B691,Clientes!$A$4:$A$15,0))</f>
        <v>Distribuidora Los Andes S.A.</v>
      </c>
      <c r="E691" t="str">
        <f>INDEX(Catalogo_Servicios!$C$4:$C$24,MATCH(C691,Catalogo_Servicios!$A$4:$A$24,0))</f>
        <v>Declaración mensual de retenciones (D-103)</v>
      </c>
      <c r="F691" s="14">
        <v>0.25</v>
      </c>
      <c r="G691" s="15">
        <f>Parametros!$B$4</f>
        <v>28681</v>
      </c>
      <c r="H691" s="14">
        <f>INDEX(Clientes!$E$4:$E$15,MATCH(B691,Clientes!$A$4:$A$15,0))</f>
        <v>1</v>
      </c>
      <c r="I691" s="15">
        <f t="shared" si="10"/>
        <v>7170</v>
      </c>
    </row>
    <row r="692" spans="1:9" x14ac:dyDescent="0.3">
      <c r="A692" s="13">
        <v>46235</v>
      </c>
      <c r="B692" t="s">
        <v>29</v>
      </c>
      <c r="C692" t="s">
        <v>67</v>
      </c>
      <c r="D692" t="str">
        <f>INDEX(Clientes!$B$4:$B$15,MATCH(B692,Clientes!$A$4:$A$15,0))</f>
        <v>Distribuidora Los Andes S.A.</v>
      </c>
      <c r="E692" t="str">
        <f>INDEX(Catalogo_Servicios!$C$4:$C$24,MATCH(C692,Catalogo_Servicios!$A$4:$A$24,0))</f>
        <v>Cálculo de planillas y cargas sociales (CCSS/INS)</v>
      </c>
      <c r="F692" s="14">
        <v>23.5</v>
      </c>
      <c r="G692" s="15">
        <f>Parametros!$B$4</f>
        <v>28681</v>
      </c>
      <c r="H692" s="14">
        <f>INDEX(Clientes!$E$4:$E$15,MATCH(B692,Clientes!$A$4:$A$15,0))</f>
        <v>1</v>
      </c>
      <c r="I692" s="15">
        <f t="shared" si="10"/>
        <v>674004</v>
      </c>
    </row>
    <row r="693" spans="1:9" x14ac:dyDescent="0.3">
      <c r="A693" s="13">
        <v>46235</v>
      </c>
      <c r="B693" t="s">
        <v>30</v>
      </c>
      <c r="C693" t="s">
        <v>64</v>
      </c>
      <c r="D693" t="str">
        <f>INDEX(Clientes!$B$4:$B$15,MATCH(B693,Clientes!$A$4:$A$15,0))</f>
        <v>Ferretería El Tornillo</v>
      </c>
      <c r="E693" t="str">
        <f>INDEX(Catalogo_Servicios!$C$4:$C$24,MATCH(C693,Catalogo_Servicios!$A$4:$A$24,0))</f>
        <v>Estados financieros mensuales</v>
      </c>
      <c r="F693" s="14">
        <v>3.5</v>
      </c>
      <c r="G693" s="15">
        <f>Parametros!$B$4</f>
        <v>28681</v>
      </c>
      <c r="H693" s="14">
        <f>INDEX(Clientes!$E$4:$E$15,MATCH(B693,Clientes!$A$4:$A$15,0))</f>
        <v>1</v>
      </c>
      <c r="I693" s="15">
        <f t="shared" si="10"/>
        <v>100384</v>
      </c>
    </row>
    <row r="694" spans="1:9" x14ac:dyDescent="0.3">
      <c r="A694" s="13">
        <v>46235</v>
      </c>
      <c r="B694" t="s">
        <v>30</v>
      </c>
      <c r="C694" t="s">
        <v>65</v>
      </c>
      <c r="D694" t="str">
        <f>INDEX(Clientes!$B$4:$B$15,MATCH(B694,Clientes!$A$4:$A$15,0))</f>
        <v>Ferretería El Tornillo</v>
      </c>
      <c r="E694" t="str">
        <f>INDEX(Catalogo_Servicios!$C$4:$C$24,MATCH(C694,Catalogo_Servicios!$A$4:$A$24,0))</f>
        <v>Declaración mensual de IVA (D-104)</v>
      </c>
      <c r="F694" s="14">
        <v>0.75</v>
      </c>
      <c r="G694" s="15">
        <f>Parametros!$B$4</f>
        <v>28681</v>
      </c>
      <c r="H694" s="14">
        <f>INDEX(Clientes!$E$4:$E$15,MATCH(B694,Clientes!$A$4:$A$15,0))</f>
        <v>1</v>
      </c>
      <c r="I694" s="15">
        <f t="shared" si="10"/>
        <v>21511</v>
      </c>
    </row>
    <row r="695" spans="1:9" x14ac:dyDescent="0.3">
      <c r="A695" s="13">
        <v>46235</v>
      </c>
      <c r="B695" t="s">
        <v>30</v>
      </c>
      <c r="C695" t="s">
        <v>66</v>
      </c>
      <c r="D695" t="str">
        <f>INDEX(Clientes!$B$4:$B$15,MATCH(B695,Clientes!$A$4:$A$15,0))</f>
        <v>Ferretería El Tornillo</v>
      </c>
      <c r="E695" t="str">
        <f>INDEX(Catalogo_Servicios!$C$4:$C$24,MATCH(C695,Catalogo_Servicios!$A$4:$A$24,0))</f>
        <v>Declaración mensual de retenciones (D-103)</v>
      </c>
      <c r="F695" s="14">
        <v>0.25</v>
      </c>
      <c r="G695" s="15">
        <f>Parametros!$B$4</f>
        <v>28681</v>
      </c>
      <c r="H695" s="14">
        <f>INDEX(Clientes!$E$4:$E$15,MATCH(B695,Clientes!$A$4:$A$15,0))</f>
        <v>1</v>
      </c>
      <c r="I695" s="15">
        <f t="shared" si="10"/>
        <v>7170</v>
      </c>
    </row>
    <row r="696" spans="1:9" x14ac:dyDescent="0.3">
      <c r="A696" s="13">
        <v>46235</v>
      </c>
      <c r="B696" t="s">
        <v>31</v>
      </c>
      <c r="C696" t="s">
        <v>65</v>
      </c>
      <c r="D696" t="str">
        <f>INDEX(Clientes!$B$4:$B$15,MATCH(B696,Clientes!$A$4:$A$15,0))</f>
        <v>Clínica Dental Sonrisa</v>
      </c>
      <c r="E696" t="str">
        <f>INDEX(Catalogo_Servicios!$C$4:$C$24,MATCH(C696,Catalogo_Servicios!$A$4:$A$24,0))</f>
        <v>Declaración mensual de IVA (D-104)</v>
      </c>
      <c r="F696" s="14">
        <v>0.75</v>
      </c>
      <c r="G696" s="15">
        <f>Parametros!$B$4</f>
        <v>28681</v>
      </c>
      <c r="H696" s="14">
        <f>INDEX(Clientes!$E$4:$E$15,MATCH(B696,Clientes!$A$4:$A$15,0))</f>
        <v>1.1000000000000001</v>
      </c>
      <c r="I696" s="15">
        <f t="shared" si="10"/>
        <v>23662</v>
      </c>
    </row>
    <row r="697" spans="1:9" x14ac:dyDescent="0.3">
      <c r="A697" s="13">
        <v>46235</v>
      </c>
      <c r="B697" t="s">
        <v>32</v>
      </c>
      <c r="C697" t="s">
        <v>65</v>
      </c>
      <c r="D697" t="str">
        <f>INDEX(Clientes!$B$4:$B$15,MATCH(B697,Clientes!$A$4:$A$15,0))</f>
        <v>Soda y Restaurante Doña Lela</v>
      </c>
      <c r="E697" t="str">
        <f>INDEX(Catalogo_Servicios!$C$4:$C$24,MATCH(C697,Catalogo_Servicios!$A$4:$A$24,0))</f>
        <v>Declaración mensual de IVA (D-104)</v>
      </c>
      <c r="F697" s="14">
        <v>1</v>
      </c>
      <c r="G697" s="15">
        <f>Parametros!$B$4</f>
        <v>28681</v>
      </c>
      <c r="H697" s="14">
        <f>INDEX(Clientes!$E$4:$E$15,MATCH(B697,Clientes!$A$4:$A$15,0))</f>
        <v>1</v>
      </c>
      <c r="I697" s="15">
        <f t="shared" si="10"/>
        <v>28681</v>
      </c>
    </row>
    <row r="698" spans="1:9" x14ac:dyDescent="0.3">
      <c r="A698" s="13">
        <v>46235</v>
      </c>
      <c r="B698" t="s">
        <v>33</v>
      </c>
      <c r="C698" t="s">
        <v>65</v>
      </c>
      <c r="D698" t="str">
        <f>INDEX(Clientes!$B$4:$B$15,MATCH(B698,Clientes!$A$4:$A$15,0))</f>
        <v>Transportes Rápidos del Valle</v>
      </c>
      <c r="E698" t="str">
        <f>INDEX(Catalogo_Servicios!$C$4:$C$24,MATCH(C698,Catalogo_Servicios!$A$4:$A$24,0))</f>
        <v>Declaración mensual de IVA (D-104)</v>
      </c>
      <c r="F698" s="14">
        <v>1</v>
      </c>
      <c r="G698" s="15">
        <f>Parametros!$B$4</f>
        <v>28681</v>
      </c>
      <c r="H698" s="14">
        <f>INDEX(Clientes!$E$4:$E$15,MATCH(B698,Clientes!$A$4:$A$15,0))</f>
        <v>1</v>
      </c>
      <c r="I698" s="15">
        <f t="shared" si="10"/>
        <v>28681</v>
      </c>
    </row>
    <row r="699" spans="1:9" x14ac:dyDescent="0.3">
      <c r="A699" s="13">
        <v>46235</v>
      </c>
      <c r="B699" t="s">
        <v>33</v>
      </c>
      <c r="C699" t="s">
        <v>66</v>
      </c>
      <c r="D699" t="str">
        <f>INDEX(Clientes!$B$4:$B$15,MATCH(B699,Clientes!$A$4:$A$15,0))</f>
        <v>Transportes Rápidos del Valle</v>
      </c>
      <c r="E699" t="str">
        <f>INDEX(Catalogo_Servicios!$C$4:$C$24,MATCH(C699,Catalogo_Servicios!$A$4:$A$24,0))</f>
        <v>Declaración mensual de retenciones (D-103)</v>
      </c>
      <c r="F699" s="14">
        <v>0.25</v>
      </c>
      <c r="G699" s="15">
        <f>Parametros!$B$4</f>
        <v>28681</v>
      </c>
      <c r="H699" s="14">
        <f>INDEX(Clientes!$E$4:$E$15,MATCH(B699,Clientes!$A$4:$A$15,0))</f>
        <v>1</v>
      </c>
      <c r="I699" s="15">
        <f t="shared" si="10"/>
        <v>7170</v>
      </c>
    </row>
    <row r="700" spans="1:9" x14ac:dyDescent="0.3">
      <c r="A700" s="13">
        <v>46235</v>
      </c>
      <c r="B700" t="s">
        <v>33</v>
      </c>
      <c r="C700" t="s">
        <v>67</v>
      </c>
      <c r="D700" t="str">
        <f>INDEX(Clientes!$B$4:$B$15,MATCH(B700,Clientes!$A$4:$A$15,0))</f>
        <v>Transportes Rápidos del Valle</v>
      </c>
      <c r="E700" t="str">
        <f>INDEX(Catalogo_Servicios!$C$4:$C$24,MATCH(C700,Catalogo_Servicios!$A$4:$A$24,0))</f>
        <v>Cálculo de planillas y cargas sociales (CCSS/INS)</v>
      </c>
      <c r="F700" s="14">
        <v>6.5</v>
      </c>
      <c r="G700" s="15">
        <f>Parametros!$B$4</f>
        <v>28681</v>
      </c>
      <c r="H700" s="14">
        <f>INDEX(Clientes!$E$4:$E$15,MATCH(B700,Clientes!$A$4:$A$15,0))</f>
        <v>1</v>
      </c>
      <c r="I700" s="15">
        <f t="shared" si="10"/>
        <v>186427</v>
      </c>
    </row>
    <row r="701" spans="1:9" x14ac:dyDescent="0.3">
      <c r="A701" s="13">
        <v>46235</v>
      </c>
      <c r="B701" t="s">
        <v>34</v>
      </c>
      <c r="C701" t="s">
        <v>68</v>
      </c>
      <c r="D701" t="str">
        <f>INDEX(Clientes!$B$4:$B$15,MATCH(B701,Clientes!$A$4:$A$15,0))</f>
        <v>Boutique Luna Nueva</v>
      </c>
      <c r="E701" t="str">
        <f>INDEX(Catalogo_Servicios!$C$4:$C$24,MATCH(C701,Catalogo_Servicios!$A$4:$A$24,0))</f>
        <v>Asesoría contable, financiera y tributaria</v>
      </c>
      <c r="F701" s="14">
        <v>1.5</v>
      </c>
      <c r="G701" s="15">
        <f>Parametros!$B$4</f>
        <v>28681</v>
      </c>
      <c r="H701" s="14">
        <f>INDEX(Clientes!$E$4:$E$15,MATCH(B701,Clientes!$A$4:$A$15,0))</f>
        <v>1.1499999999999999</v>
      </c>
      <c r="I701" s="15">
        <f t="shared" si="10"/>
        <v>49475</v>
      </c>
    </row>
    <row r="702" spans="1:9" x14ac:dyDescent="0.3">
      <c r="A702" s="13">
        <v>46235</v>
      </c>
      <c r="B702" t="s">
        <v>35</v>
      </c>
      <c r="C702" t="s">
        <v>65</v>
      </c>
      <c r="D702" t="str">
        <f>INDEX(Clientes!$B$4:$B$15,MATCH(B702,Clientes!$A$4:$A$15,0))</f>
        <v>Taller Mecánico Hermanos Mora</v>
      </c>
      <c r="E702" t="str">
        <f>INDEX(Catalogo_Servicios!$C$4:$C$24,MATCH(C702,Catalogo_Servicios!$A$4:$A$24,0))</f>
        <v>Declaración mensual de IVA (D-104)</v>
      </c>
      <c r="F702" s="14">
        <v>0.75</v>
      </c>
      <c r="G702" s="15">
        <f>Parametros!$B$4</f>
        <v>28681</v>
      </c>
      <c r="H702" s="14">
        <f>INDEX(Clientes!$E$4:$E$15,MATCH(B702,Clientes!$A$4:$A$15,0))</f>
        <v>1</v>
      </c>
      <c r="I702" s="15">
        <f t="shared" si="10"/>
        <v>21511</v>
      </c>
    </row>
    <row r="703" spans="1:9" x14ac:dyDescent="0.3">
      <c r="A703" s="13">
        <v>46235</v>
      </c>
      <c r="B703" t="s">
        <v>36</v>
      </c>
      <c r="C703" t="s">
        <v>65</v>
      </c>
      <c r="D703" t="str">
        <f>INDEX(Clientes!$B$4:$B$15,MATCH(B703,Clientes!$A$4:$A$15,0))</f>
        <v>Agroservicios Cartago</v>
      </c>
      <c r="E703" t="str">
        <f>INDEX(Catalogo_Servicios!$C$4:$C$24,MATCH(C703,Catalogo_Servicios!$A$4:$A$24,0))</f>
        <v>Declaración mensual de IVA (D-104)</v>
      </c>
      <c r="F703" s="14">
        <v>0.75</v>
      </c>
      <c r="G703" s="15">
        <f>Parametros!$B$4</f>
        <v>28681</v>
      </c>
      <c r="H703" s="14">
        <f>INDEX(Clientes!$E$4:$E$15,MATCH(B703,Clientes!$A$4:$A$15,0))</f>
        <v>1</v>
      </c>
      <c r="I703" s="15">
        <f t="shared" si="10"/>
        <v>21511</v>
      </c>
    </row>
    <row r="704" spans="1:9" x14ac:dyDescent="0.3">
      <c r="A704" s="13">
        <v>46235</v>
      </c>
      <c r="B704" t="s">
        <v>36</v>
      </c>
      <c r="C704" t="s">
        <v>66</v>
      </c>
      <c r="D704" t="str">
        <f>INDEX(Clientes!$B$4:$B$15,MATCH(B704,Clientes!$A$4:$A$15,0))</f>
        <v>Agroservicios Cartago</v>
      </c>
      <c r="E704" t="str">
        <f>INDEX(Catalogo_Servicios!$C$4:$C$24,MATCH(C704,Catalogo_Servicios!$A$4:$A$24,0))</f>
        <v>Declaración mensual de retenciones (D-103)</v>
      </c>
      <c r="F704" s="14">
        <v>0.25</v>
      </c>
      <c r="G704" s="15">
        <f>Parametros!$B$4</f>
        <v>28681</v>
      </c>
      <c r="H704" s="14">
        <f>INDEX(Clientes!$E$4:$E$15,MATCH(B704,Clientes!$A$4:$A$15,0))</f>
        <v>1</v>
      </c>
      <c r="I704" s="15">
        <f t="shared" si="10"/>
        <v>7170</v>
      </c>
    </row>
    <row r="705" spans="1:9" x14ac:dyDescent="0.3">
      <c r="A705" s="13">
        <v>46235</v>
      </c>
      <c r="B705" t="s">
        <v>38</v>
      </c>
      <c r="C705" t="s">
        <v>65</v>
      </c>
      <c r="D705" t="str">
        <f>INDEX(Clientes!$B$4:$B$15,MATCH(B705,Clientes!$A$4:$A$15,0))</f>
        <v>Panadería La Espiga</v>
      </c>
      <c r="E705" t="str">
        <f>INDEX(Catalogo_Servicios!$C$4:$C$24,MATCH(C705,Catalogo_Servicios!$A$4:$A$24,0))</f>
        <v>Declaración mensual de IVA (D-104)</v>
      </c>
      <c r="F705" s="14">
        <v>0.75</v>
      </c>
      <c r="G705" s="15">
        <f>Parametros!$B$4</f>
        <v>28681</v>
      </c>
      <c r="H705" s="14">
        <f>INDEX(Clientes!$E$4:$E$15,MATCH(B705,Clientes!$A$4:$A$15,0))</f>
        <v>1</v>
      </c>
      <c r="I705" s="15">
        <f t="shared" si="10"/>
        <v>21511</v>
      </c>
    </row>
    <row r="706" spans="1:9" x14ac:dyDescent="0.3">
      <c r="A706" s="13">
        <v>46235</v>
      </c>
      <c r="B706" t="s">
        <v>38</v>
      </c>
      <c r="C706" t="s">
        <v>67</v>
      </c>
      <c r="D706" t="str">
        <f>INDEX(Clientes!$B$4:$B$15,MATCH(B706,Clientes!$A$4:$A$15,0))</f>
        <v>Panadería La Espiga</v>
      </c>
      <c r="E706" t="str">
        <f>INDEX(Catalogo_Servicios!$C$4:$C$24,MATCH(C706,Catalogo_Servicios!$A$4:$A$24,0))</f>
        <v>Cálculo de planillas y cargas sociales (CCSS/INS)</v>
      </c>
      <c r="F706" s="14">
        <v>7.5</v>
      </c>
      <c r="G706" s="15">
        <f>Parametros!$B$4</f>
        <v>28681</v>
      </c>
      <c r="H706" s="14">
        <f>INDEX(Clientes!$E$4:$E$15,MATCH(B706,Clientes!$A$4:$A$15,0))</f>
        <v>1</v>
      </c>
      <c r="I706" s="15">
        <f t="shared" si="10"/>
        <v>215108</v>
      </c>
    </row>
    <row r="707" spans="1:9" x14ac:dyDescent="0.3">
      <c r="A707" s="13">
        <v>46266</v>
      </c>
      <c r="B707" t="s">
        <v>29</v>
      </c>
      <c r="C707" t="s">
        <v>64</v>
      </c>
      <c r="D707" t="str">
        <f>INDEX(Clientes!$B$4:$B$15,MATCH(B707,Clientes!$A$4:$A$15,0))</f>
        <v>Distribuidora Los Andes S.A.</v>
      </c>
      <c r="E707" t="str">
        <f>INDEX(Catalogo_Servicios!$C$4:$C$24,MATCH(C707,Catalogo_Servicios!$A$4:$A$24,0))</f>
        <v>Estados financieros mensuales</v>
      </c>
      <c r="F707" s="14">
        <v>3</v>
      </c>
      <c r="G707" s="15">
        <f>Parametros!$B$4</f>
        <v>28681</v>
      </c>
      <c r="H707" s="14">
        <f>INDEX(Clientes!$E$4:$E$15,MATCH(B707,Clientes!$A$4:$A$15,0))</f>
        <v>1</v>
      </c>
      <c r="I707" s="15">
        <f t="shared" si="10"/>
        <v>86043</v>
      </c>
    </row>
    <row r="708" spans="1:9" x14ac:dyDescent="0.3">
      <c r="A708" s="13">
        <v>46266</v>
      </c>
      <c r="B708" t="s">
        <v>29</v>
      </c>
      <c r="C708" t="s">
        <v>65</v>
      </c>
      <c r="D708" t="str">
        <f>INDEX(Clientes!$B$4:$B$15,MATCH(B708,Clientes!$A$4:$A$15,0))</f>
        <v>Distribuidora Los Andes S.A.</v>
      </c>
      <c r="E708" t="str">
        <f>INDEX(Catalogo_Servicios!$C$4:$C$24,MATCH(C708,Catalogo_Servicios!$A$4:$A$24,0))</f>
        <v>Declaración mensual de IVA (D-104)</v>
      </c>
      <c r="F708" s="14">
        <v>0.75</v>
      </c>
      <c r="G708" s="15">
        <f>Parametros!$B$4</f>
        <v>28681</v>
      </c>
      <c r="H708" s="14">
        <f>INDEX(Clientes!$E$4:$E$15,MATCH(B708,Clientes!$A$4:$A$15,0))</f>
        <v>1</v>
      </c>
      <c r="I708" s="15">
        <f t="shared" ref="I708:I724" si="11">ROUND(F708*G708*H708,0)</f>
        <v>21511</v>
      </c>
    </row>
    <row r="709" spans="1:9" x14ac:dyDescent="0.3">
      <c r="A709" s="13">
        <v>46266</v>
      </c>
      <c r="B709" t="s">
        <v>29</v>
      </c>
      <c r="C709" t="s">
        <v>66</v>
      </c>
      <c r="D709" t="str">
        <f>INDEX(Clientes!$B$4:$B$15,MATCH(B709,Clientes!$A$4:$A$15,0))</f>
        <v>Distribuidora Los Andes S.A.</v>
      </c>
      <c r="E709" t="str">
        <f>INDEX(Catalogo_Servicios!$C$4:$C$24,MATCH(C709,Catalogo_Servicios!$A$4:$A$24,0))</f>
        <v>Declaración mensual de retenciones (D-103)</v>
      </c>
      <c r="F709" s="14">
        <v>0.25</v>
      </c>
      <c r="G709" s="15">
        <f>Parametros!$B$4</f>
        <v>28681</v>
      </c>
      <c r="H709" s="14">
        <f>INDEX(Clientes!$E$4:$E$15,MATCH(B709,Clientes!$A$4:$A$15,0))</f>
        <v>1</v>
      </c>
      <c r="I709" s="15">
        <f t="shared" si="11"/>
        <v>7170</v>
      </c>
    </row>
    <row r="710" spans="1:9" x14ac:dyDescent="0.3">
      <c r="A710" s="13">
        <v>46266</v>
      </c>
      <c r="B710" t="s">
        <v>29</v>
      </c>
      <c r="C710" t="s">
        <v>67</v>
      </c>
      <c r="D710" t="str">
        <f>INDEX(Clientes!$B$4:$B$15,MATCH(B710,Clientes!$A$4:$A$15,0))</f>
        <v>Distribuidora Los Andes S.A.</v>
      </c>
      <c r="E710" t="str">
        <f>INDEX(Catalogo_Servicios!$C$4:$C$24,MATCH(C710,Catalogo_Servicios!$A$4:$A$24,0))</f>
        <v>Cálculo de planillas y cargas sociales (CCSS/INS)</v>
      </c>
      <c r="F710" s="14">
        <v>23.5</v>
      </c>
      <c r="G710" s="15">
        <f>Parametros!$B$4</f>
        <v>28681</v>
      </c>
      <c r="H710" s="14">
        <f>INDEX(Clientes!$E$4:$E$15,MATCH(B710,Clientes!$A$4:$A$15,0))</f>
        <v>1</v>
      </c>
      <c r="I710" s="15">
        <f t="shared" si="11"/>
        <v>674004</v>
      </c>
    </row>
    <row r="711" spans="1:9" x14ac:dyDescent="0.3">
      <c r="A711" s="13">
        <v>46266</v>
      </c>
      <c r="B711" t="s">
        <v>30</v>
      </c>
      <c r="C711" t="s">
        <v>64</v>
      </c>
      <c r="D711" t="str">
        <f>INDEX(Clientes!$B$4:$B$15,MATCH(B711,Clientes!$A$4:$A$15,0))</f>
        <v>Ferretería El Tornillo</v>
      </c>
      <c r="E711" t="str">
        <f>INDEX(Catalogo_Servicios!$C$4:$C$24,MATCH(C711,Catalogo_Servicios!$A$4:$A$24,0))</f>
        <v>Estados financieros mensuales</v>
      </c>
      <c r="F711" s="14">
        <v>3.75</v>
      </c>
      <c r="G711" s="15">
        <f>Parametros!$B$4</f>
        <v>28681</v>
      </c>
      <c r="H711" s="14">
        <f>INDEX(Clientes!$E$4:$E$15,MATCH(B711,Clientes!$A$4:$A$15,0))</f>
        <v>1</v>
      </c>
      <c r="I711" s="15">
        <f t="shared" si="11"/>
        <v>107554</v>
      </c>
    </row>
    <row r="712" spans="1:9" x14ac:dyDescent="0.3">
      <c r="A712" s="13">
        <v>46266</v>
      </c>
      <c r="B712" t="s">
        <v>30</v>
      </c>
      <c r="C712" t="s">
        <v>65</v>
      </c>
      <c r="D712" t="str">
        <f>INDEX(Clientes!$B$4:$B$15,MATCH(B712,Clientes!$A$4:$A$15,0))</f>
        <v>Ferretería El Tornillo</v>
      </c>
      <c r="E712" t="str">
        <f>INDEX(Catalogo_Servicios!$C$4:$C$24,MATCH(C712,Catalogo_Servicios!$A$4:$A$24,0))</f>
        <v>Declaración mensual de IVA (D-104)</v>
      </c>
      <c r="F712" s="14">
        <v>0.75</v>
      </c>
      <c r="G712" s="15">
        <f>Parametros!$B$4</f>
        <v>28681</v>
      </c>
      <c r="H712" s="14">
        <f>INDEX(Clientes!$E$4:$E$15,MATCH(B712,Clientes!$A$4:$A$15,0))</f>
        <v>1</v>
      </c>
      <c r="I712" s="15">
        <f t="shared" si="11"/>
        <v>21511</v>
      </c>
    </row>
    <row r="713" spans="1:9" x14ac:dyDescent="0.3">
      <c r="A713" s="13">
        <v>46266</v>
      </c>
      <c r="B713" t="s">
        <v>30</v>
      </c>
      <c r="C713" t="s">
        <v>66</v>
      </c>
      <c r="D713" t="str">
        <f>INDEX(Clientes!$B$4:$B$15,MATCH(B713,Clientes!$A$4:$A$15,0))</f>
        <v>Ferretería El Tornillo</v>
      </c>
      <c r="E713" t="str">
        <f>INDEX(Catalogo_Servicios!$C$4:$C$24,MATCH(C713,Catalogo_Servicios!$A$4:$A$24,0))</f>
        <v>Declaración mensual de retenciones (D-103)</v>
      </c>
      <c r="F713" s="14">
        <v>0.25</v>
      </c>
      <c r="G713" s="15">
        <f>Parametros!$B$4</f>
        <v>28681</v>
      </c>
      <c r="H713" s="14">
        <f>INDEX(Clientes!$E$4:$E$15,MATCH(B713,Clientes!$A$4:$A$15,0))</f>
        <v>1</v>
      </c>
      <c r="I713" s="15">
        <f t="shared" si="11"/>
        <v>7170</v>
      </c>
    </row>
    <row r="714" spans="1:9" x14ac:dyDescent="0.3">
      <c r="A714" s="13">
        <v>46266</v>
      </c>
      <c r="B714" t="s">
        <v>31</v>
      </c>
      <c r="C714" t="s">
        <v>65</v>
      </c>
      <c r="D714" t="str">
        <f>INDEX(Clientes!$B$4:$B$15,MATCH(B714,Clientes!$A$4:$A$15,0))</f>
        <v>Clínica Dental Sonrisa</v>
      </c>
      <c r="E714" t="str">
        <f>INDEX(Catalogo_Servicios!$C$4:$C$24,MATCH(C714,Catalogo_Servicios!$A$4:$A$24,0))</f>
        <v>Declaración mensual de IVA (D-104)</v>
      </c>
      <c r="F714" s="14">
        <v>0.75</v>
      </c>
      <c r="G714" s="15">
        <f>Parametros!$B$4</f>
        <v>28681</v>
      </c>
      <c r="H714" s="14">
        <f>INDEX(Clientes!$E$4:$E$15,MATCH(B714,Clientes!$A$4:$A$15,0))</f>
        <v>1.1000000000000001</v>
      </c>
      <c r="I714" s="15">
        <f t="shared" si="11"/>
        <v>23662</v>
      </c>
    </row>
    <row r="715" spans="1:9" x14ac:dyDescent="0.3">
      <c r="A715" s="13">
        <v>46266</v>
      </c>
      <c r="B715" t="s">
        <v>32</v>
      </c>
      <c r="C715" t="s">
        <v>65</v>
      </c>
      <c r="D715" t="str">
        <f>INDEX(Clientes!$B$4:$B$15,MATCH(B715,Clientes!$A$4:$A$15,0))</f>
        <v>Soda y Restaurante Doña Lela</v>
      </c>
      <c r="E715" t="str">
        <f>INDEX(Catalogo_Servicios!$C$4:$C$24,MATCH(C715,Catalogo_Servicios!$A$4:$A$24,0))</f>
        <v>Declaración mensual de IVA (D-104)</v>
      </c>
      <c r="F715" s="14">
        <v>1</v>
      </c>
      <c r="G715" s="15">
        <f>Parametros!$B$4</f>
        <v>28681</v>
      </c>
      <c r="H715" s="14">
        <f>INDEX(Clientes!$E$4:$E$15,MATCH(B715,Clientes!$A$4:$A$15,0))</f>
        <v>1</v>
      </c>
      <c r="I715" s="15">
        <f t="shared" si="11"/>
        <v>28681</v>
      </c>
    </row>
    <row r="716" spans="1:9" x14ac:dyDescent="0.3">
      <c r="A716" s="13">
        <v>46266</v>
      </c>
      <c r="B716" t="s">
        <v>33</v>
      </c>
      <c r="C716" t="s">
        <v>65</v>
      </c>
      <c r="D716" t="str">
        <f>INDEX(Clientes!$B$4:$B$15,MATCH(B716,Clientes!$A$4:$A$15,0))</f>
        <v>Transportes Rápidos del Valle</v>
      </c>
      <c r="E716" t="str">
        <f>INDEX(Catalogo_Servicios!$C$4:$C$24,MATCH(C716,Catalogo_Servicios!$A$4:$A$24,0))</f>
        <v>Declaración mensual de IVA (D-104)</v>
      </c>
      <c r="F716" s="14">
        <v>0.75</v>
      </c>
      <c r="G716" s="15">
        <f>Parametros!$B$4</f>
        <v>28681</v>
      </c>
      <c r="H716" s="14">
        <f>INDEX(Clientes!$E$4:$E$15,MATCH(B716,Clientes!$A$4:$A$15,0))</f>
        <v>1</v>
      </c>
      <c r="I716" s="15">
        <f t="shared" si="11"/>
        <v>21511</v>
      </c>
    </row>
    <row r="717" spans="1:9" x14ac:dyDescent="0.3">
      <c r="A717" s="13">
        <v>46266</v>
      </c>
      <c r="B717" t="s">
        <v>33</v>
      </c>
      <c r="C717" t="s">
        <v>66</v>
      </c>
      <c r="D717" t="str">
        <f>INDEX(Clientes!$B$4:$B$15,MATCH(B717,Clientes!$A$4:$A$15,0))</f>
        <v>Transportes Rápidos del Valle</v>
      </c>
      <c r="E717" t="str">
        <f>INDEX(Catalogo_Servicios!$C$4:$C$24,MATCH(C717,Catalogo_Servicios!$A$4:$A$24,0))</f>
        <v>Declaración mensual de retenciones (D-103)</v>
      </c>
      <c r="F717" s="14">
        <v>0.25</v>
      </c>
      <c r="G717" s="15">
        <f>Parametros!$B$4</f>
        <v>28681</v>
      </c>
      <c r="H717" s="14">
        <f>INDEX(Clientes!$E$4:$E$15,MATCH(B717,Clientes!$A$4:$A$15,0))</f>
        <v>1</v>
      </c>
      <c r="I717" s="15">
        <f t="shared" si="11"/>
        <v>7170</v>
      </c>
    </row>
    <row r="718" spans="1:9" x14ac:dyDescent="0.3">
      <c r="A718" s="13">
        <v>46266</v>
      </c>
      <c r="B718" t="s">
        <v>33</v>
      </c>
      <c r="C718" t="s">
        <v>67</v>
      </c>
      <c r="D718" t="str">
        <f>INDEX(Clientes!$B$4:$B$15,MATCH(B718,Clientes!$A$4:$A$15,0))</f>
        <v>Transportes Rápidos del Valle</v>
      </c>
      <c r="E718" t="str">
        <f>INDEX(Catalogo_Servicios!$C$4:$C$24,MATCH(C718,Catalogo_Servicios!$A$4:$A$24,0))</f>
        <v>Cálculo de planillas y cargas sociales (CCSS/INS)</v>
      </c>
      <c r="F718" s="14">
        <v>6.5</v>
      </c>
      <c r="G718" s="15">
        <f>Parametros!$B$4</f>
        <v>28681</v>
      </c>
      <c r="H718" s="14">
        <f>INDEX(Clientes!$E$4:$E$15,MATCH(B718,Clientes!$A$4:$A$15,0))</f>
        <v>1</v>
      </c>
      <c r="I718" s="15">
        <f t="shared" si="11"/>
        <v>186427</v>
      </c>
    </row>
    <row r="719" spans="1:9" x14ac:dyDescent="0.3">
      <c r="A719" s="13">
        <v>46266</v>
      </c>
      <c r="B719" t="s">
        <v>34</v>
      </c>
      <c r="C719" t="s">
        <v>68</v>
      </c>
      <c r="D719" t="str">
        <f>INDEX(Clientes!$B$4:$B$15,MATCH(B719,Clientes!$A$4:$A$15,0))</f>
        <v>Boutique Luna Nueva</v>
      </c>
      <c r="E719" t="str">
        <f>INDEX(Catalogo_Servicios!$C$4:$C$24,MATCH(C719,Catalogo_Servicios!$A$4:$A$24,0))</f>
        <v>Asesoría contable, financiera y tributaria</v>
      </c>
      <c r="F719" s="14">
        <v>1</v>
      </c>
      <c r="G719" s="15">
        <f>Parametros!$B$4</f>
        <v>28681</v>
      </c>
      <c r="H719" s="14">
        <f>INDEX(Clientes!$E$4:$E$15,MATCH(B719,Clientes!$A$4:$A$15,0))</f>
        <v>1.1499999999999999</v>
      </c>
      <c r="I719" s="15">
        <f t="shared" si="11"/>
        <v>32983</v>
      </c>
    </row>
    <row r="720" spans="1:9" x14ac:dyDescent="0.3">
      <c r="A720" s="13">
        <v>46266</v>
      </c>
      <c r="B720" t="s">
        <v>35</v>
      </c>
      <c r="C720" t="s">
        <v>65</v>
      </c>
      <c r="D720" t="str">
        <f>INDEX(Clientes!$B$4:$B$15,MATCH(B720,Clientes!$A$4:$A$15,0))</f>
        <v>Taller Mecánico Hermanos Mora</v>
      </c>
      <c r="E720" t="str">
        <f>INDEX(Catalogo_Servicios!$C$4:$C$24,MATCH(C720,Catalogo_Servicios!$A$4:$A$24,0))</f>
        <v>Declaración mensual de IVA (D-104)</v>
      </c>
      <c r="F720" s="14">
        <v>0.75</v>
      </c>
      <c r="G720" s="15">
        <f>Parametros!$B$4</f>
        <v>28681</v>
      </c>
      <c r="H720" s="14">
        <f>INDEX(Clientes!$E$4:$E$15,MATCH(B720,Clientes!$A$4:$A$15,0))</f>
        <v>1</v>
      </c>
      <c r="I720" s="15">
        <f t="shared" si="11"/>
        <v>21511</v>
      </c>
    </row>
    <row r="721" spans="1:9" x14ac:dyDescent="0.3">
      <c r="A721" s="13">
        <v>46266</v>
      </c>
      <c r="B721" t="s">
        <v>36</v>
      </c>
      <c r="C721" t="s">
        <v>65</v>
      </c>
      <c r="D721" t="str">
        <f>INDEX(Clientes!$B$4:$B$15,MATCH(B721,Clientes!$A$4:$A$15,0))</f>
        <v>Agroservicios Cartago</v>
      </c>
      <c r="E721" t="str">
        <f>INDEX(Catalogo_Servicios!$C$4:$C$24,MATCH(C721,Catalogo_Servicios!$A$4:$A$24,0))</f>
        <v>Declaración mensual de IVA (D-104)</v>
      </c>
      <c r="F721" s="14">
        <v>1</v>
      </c>
      <c r="G721" s="15">
        <f>Parametros!$B$4</f>
        <v>28681</v>
      </c>
      <c r="H721" s="14">
        <f>INDEX(Clientes!$E$4:$E$15,MATCH(B721,Clientes!$A$4:$A$15,0))</f>
        <v>1</v>
      </c>
      <c r="I721" s="15">
        <f t="shared" si="11"/>
        <v>28681</v>
      </c>
    </row>
    <row r="722" spans="1:9" x14ac:dyDescent="0.3">
      <c r="A722" s="13">
        <v>46266</v>
      </c>
      <c r="B722" t="s">
        <v>36</v>
      </c>
      <c r="C722" t="s">
        <v>66</v>
      </c>
      <c r="D722" t="str">
        <f>INDEX(Clientes!$B$4:$B$15,MATCH(B722,Clientes!$A$4:$A$15,0))</f>
        <v>Agroservicios Cartago</v>
      </c>
      <c r="E722" t="str">
        <f>INDEX(Catalogo_Servicios!$C$4:$C$24,MATCH(C722,Catalogo_Servicios!$A$4:$A$24,0))</f>
        <v>Declaración mensual de retenciones (D-103)</v>
      </c>
      <c r="F722" s="14">
        <v>0.25</v>
      </c>
      <c r="G722" s="15">
        <f>Parametros!$B$4</f>
        <v>28681</v>
      </c>
      <c r="H722" s="14">
        <f>INDEX(Clientes!$E$4:$E$15,MATCH(B722,Clientes!$A$4:$A$15,0))</f>
        <v>1</v>
      </c>
      <c r="I722" s="15">
        <f t="shared" si="11"/>
        <v>7170</v>
      </c>
    </row>
    <row r="723" spans="1:9" x14ac:dyDescent="0.3">
      <c r="A723" s="13">
        <v>46266</v>
      </c>
      <c r="B723" t="s">
        <v>38</v>
      </c>
      <c r="C723" t="s">
        <v>65</v>
      </c>
      <c r="D723" t="str">
        <f>INDEX(Clientes!$B$4:$B$15,MATCH(B723,Clientes!$A$4:$A$15,0))</f>
        <v>Panadería La Espiga</v>
      </c>
      <c r="E723" t="str">
        <f>INDEX(Catalogo_Servicios!$C$4:$C$24,MATCH(C723,Catalogo_Servicios!$A$4:$A$24,0))</f>
        <v>Declaración mensual de IVA (D-104)</v>
      </c>
      <c r="F723" s="14">
        <v>1</v>
      </c>
      <c r="G723" s="15">
        <f>Parametros!$B$4</f>
        <v>28681</v>
      </c>
      <c r="H723" s="14">
        <f>INDEX(Clientes!$E$4:$E$15,MATCH(B723,Clientes!$A$4:$A$15,0))</f>
        <v>1</v>
      </c>
      <c r="I723" s="15">
        <f t="shared" si="11"/>
        <v>28681</v>
      </c>
    </row>
    <row r="724" spans="1:9" x14ac:dyDescent="0.3">
      <c r="A724" s="13">
        <v>46266</v>
      </c>
      <c r="B724" t="s">
        <v>38</v>
      </c>
      <c r="C724" t="s">
        <v>67</v>
      </c>
      <c r="D724" t="str">
        <f>INDEX(Clientes!$B$4:$B$15,MATCH(B724,Clientes!$A$4:$A$15,0))</f>
        <v>Panadería La Espiga</v>
      </c>
      <c r="E724" t="str">
        <f>INDEX(Catalogo_Servicios!$C$4:$C$24,MATCH(C724,Catalogo_Servicios!$A$4:$A$24,0))</f>
        <v>Cálculo de planillas y cargas sociales (CCSS/INS)</v>
      </c>
      <c r="F724" s="14">
        <v>8</v>
      </c>
      <c r="G724" s="15">
        <f>Parametros!$B$4</f>
        <v>28681</v>
      </c>
      <c r="H724" s="14">
        <f>INDEX(Clientes!$E$4:$E$15,MATCH(B724,Clientes!$A$4:$A$15,0))</f>
        <v>1</v>
      </c>
      <c r="I724" s="15">
        <f t="shared" si="11"/>
        <v>229448</v>
      </c>
    </row>
  </sheetData>
  <autoFilter ref="A3:I724" xr:uid="{00000000-0009-0000-0000-000003000000}"/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39"/>
  <sheetViews>
    <sheetView zoomScaleNormal="100" workbookViewId="0"/>
  </sheetViews>
  <sheetFormatPr baseColWidth="10" defaultColWidth="8.6640625" defaultRowHeight="14.4" x14ac:dyDescent="0.3"/>
  <cols>
    <col min="1" max="1" width="12" customWidth="1"/>
    <col min="2" max="7" width="19" customWidth="1"/>
  </cols>
  <sheetData>
    <row r="1" spans="1:7" ht="16.8" x14ac:dyDescent="0.3">
      <c r="A1" s="1" t="s">
        <v>77</v>
      </c>
    </row>
    <row r="3" spans="1:7" ht="31.5" customHeight="1" x14ac:dyDescent="0.3">
      <c r="A3" s="2" t="s">
        <v>1</v>
      </c>
      <c r="B3" s="2" t="s">
        <v>78</v>
      </c>
      <c r="C3" s="2" t="s">
        <v>79</v>
      </c>
      <c r="D3" s="2" t="s">
        <v>80</v>
      </c>
      <c r="E3" s="2" t="s">
        <v>81</v>
      </c>
      <c r="F3" s="2" t="s">
        <v>82</v>
      </c>
      <c r="G3" s="2" t="s">
        <v>53</v>
      </c>
    </row>
    <row r="4" spans="1:7" x14ac:dyDescent="0.3">
      <c r="A4" s="4">
        <v>45200</v>
      </c>
      <c r="B4" s="6">
        <f>COUNTIFS(Facturacion!$A$4:$A$724,$A4,Facturacion!$C$4:$C$724,"S03")</f>
        <v>8</v>
      </c>
      <c r="C4" s="6">
        <f>COUNTIFS(Facturacion!$A$4:$A$724,$A4,Facturacion!$C$4:$C$724,"S04")</f>
        <v>4</v>
      </c>
      <c r="D4" s="6">
        <f>COUNTIFS(Facturacion!$A$4:$A$724,$A4,Facturacion!$C$4:$C$724,"S06")</f>
        <v>0</v>
      </c>
      <c r="E4" s="6">
        <f>COUNTIFS(Facturacion!$A$4:$A$724,$A4,Facturacion!$C$4:$C$724,"S05")+COUNTIFS(Facturacion!$A$4:$A$724,$A4,Facturacion!$C$4:$C$724,"S14")</f>
        <v>3</v>
      </c>
      <c r="F4" s="6">
        <f>COUNTIFS(Facturacion!$A$4:$A$724,$A4,Facturacion!$C$4:$C$724,"S13")</f>
        <v>0</v>
      </c>
      <c r="G4" s="16">
        <f t="shared" ref="G4:G39" si="0">SUM(B4:F4)</f>
        <v>15</v>
      </c>
    </row>
    <row r="5" spans="1:7" x14ac:dyDescent="0.3">
      <c r="A5" s="4">
        <v>45231</v>
      </c>
      <c r="B5" s="6">
        <f>COUNTIFS(Facturacion!$A$4:$A$724,$A5,Facturacion!$C$4:$C$724,"S03")</f>
        <v>8</v>
      </c>
      <c r="C5" s="6">
        <f>COUNTIFS(Facturacion!$A$4:$A$724,$A5,Facturacion!$C$4:$C$724,"S04")</f>
        <v>4</v>
      </c>
      <c r="D5" s="6">
        <f>COUNTIFS(Facturacion!$A$4:$A$724,$A5,Facturacion!$C$4:$C$724,"S06")</f>
        <v>0</v>
      </c>
      <c r="E5" s="6">
        <f>COUNTIFS(Facturacion!$A$4:$A$724,$A5,Facturacion!$C$4:$C$724,"S05")+COUNTIFS(Facturacion!$A$4:$A$724,$A5,Facturacion!$C$4:$C$724,"S14")</f>
        <v>3</v>
      </c>
      <c r="F5" s="6">
        <f>COUNTIFS(Facturacion!$A$4:$A$724,$A5,Facturacion!$C$4:$C$724,"S13")</f>
        <v>0</v>
      </c>
      <c r="G5" s="16">
        <f t="shared" si="0"/>
        <v>15</v>
      </c>
    </row>
    <row r="6" spans="1:7" x14ac:dyDescent="0.3">
      <c r="A6" s="4">
        <v>45261</v>
      </c>
      <c r="B6" s="6">
        <f>COUNTIFS(Facturacion!$A$4:$A$724,$A6,Facturacion!$C$4:$C$724,"S03")</f>
        <v>8</v>
      </c>
      <c r="C6" s="6">
        <f>COUNTIFS(Facturacion!$A$4:$A$724,$A6,Facturacion!$C$4:$C$724,"S04")</f>
        <v>4</v>
      </c>
      <c r="D6" s="6">
        <f>COUNTIFS(Facturacion!$A$4:$A$724,$A6,Facturacion!$C$4:$C$724,"S06")</f>
        <v>5</v>
      </c>
      <c r="E6" s="6">
        <f>COUNTIFS(Facturacion!$A$4:$A$724,$A6,Facturacion!$C$4:$C$724,"S05")+COUNTIFS(Facturacion!$A$4:$A$724,$A6,Facturacion!$C$4:$C$724,"S14")</f>
        <v>3</v>
      </c>
      <c r="F6" s="6">
        <f>COUNTIFS(Facturacion!$A$4:$A$724,$A6,Facturacion!$C$4:$C$724,"S13")</f>
        <v>0</v>
      </c>
      <c r="G6" s="16">
        <f t="shared" si="0"/>
        <v>20</v>
      </c>
    </row>
    <row r="7" spans="1:7" x14ac:dyDescent="0.3">
      <c r="A7" s="4">
        <v>45292</v>
      </c>
      <c r="B7" s="6">
        <f>COUNTIFS(Facturacion!$A$4:$A$724,$A7,Facturacion!$C$4:$C$724,"S03")</f>
        <v>8</v>
      </c>
      <c r="C7" s="6">
        <f>COUNTIFS(Facturacion!$A$4:$A$724,$A7,Facturacion!$C$4:$C$724,"S04")</f>
        <v>4</v>
      </c>
      <c r="D7" s="6">
        <f>COUNTIFS(Facturacion!$A$4:$A$724,$A7,Facturacion!$C$4:$C$724,"S06")</f>
        <v>0</v>
      </c>
      <c r="E7" s="6">
        <f>COUNTIFS(Facturacion!$A$4:$A$724,$A7,Facturacion!$C$4:$C$724,"S05")+COUNTIFS(Facturacion!$A$4:$A$724,$A7,Facturacion!$C$4:$C$724,"S14")</f>
        <v>6</v>
      </c>
      <c r="F7" s="6">
        <f>COUNTIFS(Facturacion!$A$4:$A$724,$A7,Facturacion!$C$4:$C$724,"S13")</f>
        <v>0</v>
      </c>
      <c r="G7" s="16">
        <f t="shared" si="0"/>
        <v>18</v>
      </c>
    </row>
    <row r="8" spans="1:7" x14ac:dyDescent="0.3">
      <c r="A8" s="4">
        <v>45323</v>
      </c>
      <c r="B8" s="6">
        <f>COUNTIFS(Facturacion!$A$4:$A$724,$A8,Facturacion!$C$4:$C$724,"S03")</f>
        <v>8</v>
      </c>
      <c r="C8" s="6">
        <f>COUNTIFS(Facturacion!$A$4:$A$724,$A8,Facturacion!$C$4:$C$724,"S04")</f>
        <v>4</v>
      </c>
      <c r="D8" s="6">
        <f>COUNTIFS(Facturacion!$A$4:$A$724,$A8,Facturacion!$C$4:$C$724,"S06")</f>
        <v>0</v>
      </c>
      <c r="E8" s="6">
        <f>COUNTIFS(Facturacion!$A$4:$A$724,$A8,Facturacion!$C$4:$C$724,"S05")+COUNTIFS(Facturacion!$A$4:$A$724,$A8,Facturacion!$C$4:$C$724,"S14")</f>
        <v>3</v>
      </c>
      <c r="F8" s="6">
        <f>COUNTIFS(Facturacion!$A$4:$A$724,$A8,Facturacion!$C$4:$C$724,"S13")</f>
        <v>8</v>
      </c>
      <c r="G8" s="16">
        <f t="shared" si="0"/>
        <v>23</v>
      </c>
    </row>
    <row r="9" spans="1:7" x14ac:dyDescent="0.3">
      <c r="A9" s="4">
        <v>45352</v>
      </c>
      <c r="B9" s="6">
        <f>COUNTIFS(Facturacion!$A$4:$A$724,$A9,Facturacion!$C$4:$C$724,"S03")</f>
        <v>8</v>
      </c>
      <c r="C9" s="6">
        <f>COUNTIFS(Facturacion!$A$4:$A$724,$A9,Facturacion!$C$4:$C$724,"S04")</f>
        <v>4</v>
      </c>
      <c r="D9" s="6">
        <f>COUNTIFS(Facturacion!$A$4:$A$724,$A9,Facturacion!$C$4:$C$724,"S06")</f>
        <v>6</v>
      </c>
      <c r="E9" s="6">
        <f>COUNTIFS(Facturacion!$A$4:$A$724,$A9,Facturacion!$C$4:$C$724,"S05")+COUNTIFS(Facturacion!$A$4:$A$724,$A9,Facturacion!$C$4:$C$724,"S14")</f>
        <v>3</v>
      </c>
      <c r="F9" s="6">
        <f>COUNTIFS(Facturacion!$A$4:$A$724,$A9,Facturacion!$C$4:$C$724,"S13")</f>
        <v>0</v>
      </c>
      <c r="G9" s="16">
        <f t="shared" si="0"/>
        <v>21</v>
      </c>
    </row>
    <row r="10" spans="1:7" x14ac:dyDescent="0.3">
      <c r="A10" s="4">
        <v>45383</v>
      </c>
      <c r="B10" s="6">
        <f>COUNTIFS(Facturacion!$A$4:$A$724,$A10,Facturacion!$C$4:$C$724,"S03")</f>
        <v>8</v>
      </c>
      <c r="C10" s="6">
        <f>COUNTIFS(Facturacion!$A$4:$A$724,$A10,Facturacion!$C$4:$C$724,"S04")</f>
        <v>4</v>
      </c>
      <c r="D10" s="6">
        <f>COUNTIFS(Facturacion!$A$4:$A$724,$A10,Facturacion!$C$4:$C$724,"S06")</f>
        <v>0</v>
      </c>
      <c r="E10" s="6">
        <f>COUNTIFS(Facturacion!$A$4:$A$724,$A10,Facturacion!$C$4:$C$724,"S05")+COUNTIFS(Facturacion!$A$4:$A$724,$A10,Facturacion!$C$4:$C$724,"S14")</f>
        <v>3</v>
      </c>
      <c r="F10" s="6">
        <f>COUNTIFS(Facturacion!$A$4:$A$724,$A10,Facturacion!$C$4:$C$724,"S13")</f>
        <v>0</v>
      </c>
      <c r="G10" s="16">
        <f t="shared" si="0"/>
        <v>15</v>
      </c>
    </row>
    <row r="11" spans="1:7" x14ac:dyDescent="0.3">
      <c r="A11" s="4">
        <v>45413</v>
      </c>
      <c r="B11" s="6">
        <f>COUNTIFS(Facturacion!$A$4:$A$724,$A11,Facturacion!$C$4:$C$724,"S03")</f>
        <v>8</v>
      </c>
      <c r="C11" s="6">
        <f>COUNTIFS(Facturacion!$A$4:$A$724,$A11,Facturacion!$C$4:$C$724,"S04")</f>
        <v>4</v>
      </c>
      <c r="D11" s="6">
        <f>COUNTIFS(Facturacion!$A$4:$A$724,$A11,Facturacion!$C$4:$C$724,"S06")</f>
        <v>0</v>
      </c>
      <c r="E11" s="6">
        <f>COUNTIFS(Facturacion!$A$4:$A$724,$A11,Facturacion!$C$4:$C$724,"S05")+COUNTIFS(Facturacion!$A$4:$A$724,$A11,Facturacion!$C$4:$C$724,"S14")</f>
        <v>3</v>
      </c>
      <c r="F11" s="6">
        <f>COUNTIFS(Facturacion!$A$4:$A$724,$A11,Facturacion!$C$4:$C$724,"S13")</f>
        <v>0</v>
      </c>
      <c r="G11" s="16">
        <f t="shared" si="0"/>
        <v>15</v>
      </c>
    </row>
    <row r="12" spans="1:7" x14ac:dyDescent="0.3">
      <c r="A12" s="4">
        <v>45444</v>
      </c>
      <c r="B12" s="6">
        <f>COUNTIFS(Facturacion!$A$4:$A$724,$A12,Facturacion!$C$4:$C$724,"S03")</f>
        <v>8</v>
      </c>
      <c r="C12" s="6">
        <f>COUNTIFS(Facturacion!$A$4:$A$724,$A12,Facturacion!$C$4:$C$724,"S04")</f>
        <v>4</v>
      </c>
      <c r="D12" s="6">
        <f>COUNTIFS(Facturacion!$A$4:$A$724,$A12,Facturacion!$C$4:$C$724,"S06")</f>
        <v>0</v>
      </c>
      <c r="E12" s="6">
        <f>COUNTIFS(Facturacion!$A$4:$A$724,$A12,Facturacion!$C$4:$C$724,"S05")+COUNTIFS(Facturacion!$A$4:$A$724,$A12,Facturacion!$C$4:$C$724,"S14")</f>
        <v>3</v>
      </c>
      <c r="F12" s="6">
        <f>COUNTIFS(Facturacion!$A$4:$A$724,$A12,Facturacion!$C$4:$C$724,"S13")</f>
        <v>0</v>
      </c>
      <c r="G12" s="16">
        <f t="shared" si="0"/>
        <v>15</v>
      </c>
    </row>
    <row r="13" spans="1:7" x14ac:dyDescent="0.3">
      <c r="A13" s="4">
        <v>45474</v>
      </c>
      <c r="B13" s="6">
        <f>COUNTIFS(Facturacion!$A$4:$A$724,$A13,Facturacion!$C$4:$C$724,"S03")</f>
        <v>8</v>
      </c>
      <c r="C13" s="6">
        <f>COUNTIFS(Facturacion!$A$4:$A$724,$A13,Facturacion!$C$4:$C$724,"S04")</f>
        <v>4</v>
      </c>
      <c r="D13" s="6">
        <f>COUNTIFS(Facturacion!$A$4:$A$724,$A13,Facturacion!$C$4:$C$724,"S06")</f>
        <v>0</v>
      </c>
      <c r="E13" s="6">
        <f>COUNTIFS(Facturacion!$A$4:$A$724,$A13,Facturacion!$C$4:$C$724,"S05")+COUNTIFS(Facturacion!$A$4:$A$724,$A13,Facturacion!$C$4:$C$724,"S14")</f>
        <v>3</v>
      </c>
      <c r="F13" s="6">
        <f>COUNTIFS(Facturacion!$A$4:$A$724,$A13,Facturacion!$C$4:$C$724,"S13")</f>
        <v>0</v>
      </c>
      <c r="G13" s="16">
        <f t="shared" si="0"/>
        <v>15</v>
      </c>
    </row>
    <row r="14" spans="1:7" x14ac:dyDescent="0.3">
      <c r="A14" s="4">
        <v>45505</v>
      </c>
      <c r="B14" s="6">
        <f>COUNTIFS(Facturacion!$A$4:$A$724,$A14,Facturacion!$C$4:$C$724,"S03")</f>
        <v>8</v>
      </c>
      <c r="C14" s="6">
        <f>COUNTIFS(Facturacion!$A$4:$A$724,$A14,Facturacion!$C$4:$C$724,"S04")</f>
        <v>4</v>
      </c>
      <c r="D14" s="6">
        <f>COUNTIFS(Facturacion!$A$4:$A$724,$A14,Facturacion!$C$4:$C$724,"S06")</f>
        <v>0</v>
      </c>
      <c r="E14" s="6">
        <f>COUNTIFS(Facturacion!$A$4:$A$724,$A14,Facturacion!$C$4:$C$724,"S05")+COUNTIFS(Facturacion!$A$4:$A$724,$A14,Facturacion!$C$4:$C$724,"S14")</f>
        <v>3</v>
      </c>
      <c r="F14" s="6">
        <f>COUNTIFS(Facturacion!$A$4:$A$724,$A14,Facturacion!$C$4:$C$724,"S13")</f>
        <v>0</v>
      </c>
      <c r="G14" s="16">
        <f t="shared" si="0"/>
        <v>15</v>
      </c>
    </row>
    <row r="15" spans="1:7" x14ac:dyDescent="0.3">
      <c r="A15" s="4">
        <v>45536</v>
      </c>
      <c r="B15" s="6">
        <f>COUNTIFS(Facturacion!$A$4:$A$724,$A15,Facturacion!$C$4:$C$724,"S03")</f>
        <v>8</v>
      </c>
      <c r="C15" s="6">
        <f>COUNTIFS(Facturacion!$A$4:$A$724,$A15,Facturacion!$C$4:$C$724,"S04")</f>
        <v>4</v>
      </c>
      <c r="D15" s="6">
        <f>COUNTIFS(Facturacion!$A$4:$A$724,$A15,Facturacion!$C$4:$C$724,"S06")</f>
        <v>0</v>
      </c>
      <c r="E15" s="6">
        <f>COUNTIFS(Facturacion!$A$4:$A$724,$A15,Facturacion!$C$4:$C$724,"S05")+COUNTIFS(Facturacion!$A$4:$A$724,$A15,Facturacion!$C$4:$C$724,"S14")</f>
        <v>3</v>
      </c>
      <c r="F15" s="6">
        <f>COUNTIFS(Facturacion!$A$4:$A$724,$A15,Facturacion!$C$4:$C$724,"S13")</f>
        <v>0</v>
      </c>
      <c r="G15" s="16">
        <f t="shared" si="0"/>
        <v>15</v>
      </c>
    </row>
    <row r="16" spans="1:7" x14ac:dyDescent="0.3">
      <c r="A16" s="4">
        <v>45566</v>
      </c>
      <c r="B16" s="6">
        <f>COUNTIFS(Facturacion!$A$4:$A$724,$A16,Facturacion!$C$4:$C$724,"S03")</f>
        <v>8</v>
      </c>
      <c r="C16" s="6">
        <f>COUNTIFS(Facturacion!$A$4:$A$724,$A16,Facturacion!$C$4:$C$724,"S04")</f>
        <v>4</v>
      </c>
      <c r="D16" s="6">
        <f>COUNTIFS(Facturacion!$A$4:$A$724,$A16,Facturacion!$C$4:$C$724,"S06")</f>
        <v>0</v>
      </c>
      <c r="E16" s="6">
        <f>COUNTIFS(Facturacion!$A$4:$A$724,$A16,Facturacion!$C$4:$C$724,"S05")+COUNTIFS(Facturacion!$A$4:$A$724,$A16,Facturacion!$C$4:$C$724,"S14")</f>
        <v>3</v>
      </c>
      <c r="F16" s="6">
        <f>COUNTIFS(Facturacion!$A$4:$A$724,$A16,Facturacion!$C$4:$C$724,"S13")</f>
        <v>0</v>
      </c>
      <c r="G16" s="16">
        <f t="shared" si="0"/>
        <v>15</v>
      </c>
    </row>
    <row r="17" spans="1:7" x14ac:dyDescent="0.3">
      <c r="A17" s="4">
        <v>45597</v>
      </c>
      <c r="B17" s="6">
        <f>COUNTIFS(Facturacion!$A$4:$A$724,$A17,Facturacion!$C$4:$C$724,"S03")</f>
        <v>8</v>
      </c>
      <c r="C17" s="6">
        <f>COUNTIFS(Facturacion!$A$4:$A$724,$A17,Facturacion!$C$4:$C$724,"S04")</f>
        <v>4</v>
      </c>
      <c r="D17" s="6">
        <f>COUNTIFS(Facturacion!$A$4:$A$724,$A17,Facturacion!$C$4:$C$724,"S06")</f>
        <v>0</v>
      </c>
      <c r="E17" s="6">
        <f>COUNTIFS(Facturacion!$A$4:$A$724,$A17,Facturacion!$C$4:$C$724,"S05")+COUNTIFS(Facturacion!$A$4:$A$724,$A17,Facturacion!$C$4:$C$724,"S14")</f>
        <v>3</v>
      </c>
      <c r="F17" s="6">
        <f>COUNTIFS(Facturacion!$A$4:$A$724,$A17,Facturacion!$C$4:$C$724,"S13")</f>
        <v>0</v>
      </c>
      <c r="G17" s="16">
        <f t="shared" si="0"/>
        <v>15</v>
      </c>
    </row>
    <row r="18" spans="1:7" x14ac:dyDescent="0.3">
      <c r="A18" s="4">
        <v>45627</v>
      </c>
      <c r="B18" s="6">
        <f>COUNTIFS(Facturacion!$A$4:$A$724,$A18,Facturacion!$C$4:$C$724,"S03")</f>
        <v>8</v>
      </c>
      <c r="C18" s="6">
        <f>COUNTIFS(Facturacion!$A$4:$A$724,$A18,Facturacion!$C$4:$C$724,"S04")</f>
        <v>4</v>
      </c>
      <c r="D18" s="6">
        <f>COUNTIFS(Facturacion!$A$4:$A$724,$A18,Facturacion!$C$4:$C$724,"S06")</f>
        <v>5</v>
      </c>
      <c r="E18" s="6">
        <f>COUNTIFS(Facturacion!$A$4:$A$724,$A18,Facturacion!$C$4:$C$724,"S05")+COUNTIFS(Facturacion!$A$4:$A$724,$A18,Facturacion!$C$4:$C$724,"S14")</f>
        <v>3</v>
      </c>
      <c r="F18" s="6">
        <f>COUNTIFS(Facturacion!$A$4:$A$724,$A18,Facturacion!$C$4:$C$724,"S13")</f>
        <v>0</v>
      </c>
      <c r="G18" s="16">
        <f t="shared" si="0"/>
        <v>20</v>
      </c>
    </row>
    <row r="19" spans="1:7" x14ac:dyDescent="0.3">
      <c r="A19" s="4">
        <v>45658</v>
      </c>
      <c r="B19" s="6">
        <f>COUNTIFS(Facturacion!$A$4:$A$724,$A19,Facturacion!$C$4:$C$724,"S03")</f>
        <v>8</v>
      </c>
      <c r="C19" s="6">
        <f>COUNTIFS(Facturacion!$A$4:$A$724,$A19,Facturacion!$C$4:$C$724,"S04")</f>
        <v>4</v>
      </c>
      <c r="D19" s="6">
        <f>COUNTIFS(Facturacion!$A$4:$A$724,$A19,Facturacion!$C$4:$C$724,"S06")</f>
        <v>0</v>
      </c>
      <c r="E19" s="6">
        <f>COUNTIFS(Facturacion!$A$4:$A$724,$A19,Facturacion!$C$4:$C$724,"S05")+COUNTIFS(Facturacion!$A$4:$A$724,$A19,Facturacion!$C$4:$C$724,"S14")</f>
        <v>6</v>
      </c>
      <c r="F19" s="6">
        <f>COUNTIFS(Facturacion!$A$4:$A$724,$A19,Facturacion!$C$4:$C$724,"S13")</f>
        <v>0</v>
      </c>
      <c r="G19" s="16">
        <f t="shared" si="0"/>
        <v>18</v>
      </c>
    </row>
    <row r="20" spans="1:7" x14ac:dyDescent="0.3">
      <c r="A20" s="4">
        <v>45689</v>
      </c>
      <c r="B20" s="6">
        <f>COUNTIFS(Facturacion!$A$4:$A$724,$A20,Facturacion!$C$4:$C$724,"S03")</f>
        <v>8</v>
      </c>
      <c r="C20" s="6">
        <f>COUNTIFS(Facturacion!$A$4:$A$724,$A20,Facturacion!$C$4:$C$724,"S04")</f>
        <v>4</v>
      </c>
      <c r="D20" s="6">
        <f>COUNTIFS(Facturacion!$A$4:$A$724,$A20,Facturacion!$C$4:$C$724,"S06")</f>
        <v>0</v>
      </c>
      <c r="E20" s="6">
        <f>COUNTIFS(Facturacion!$A$4:$A$724,$A20,Facturacion!$C$4:$C$724,"S05")+COUNTIFS(Facturacion!$A$4:$A$724,$A20,Facturacion!$C$4:$C$724,"S14")</f>
        <v>3</v>
      </c>
      <c r="F20" s="6">
        <f>COUNTIFS(Facturacion!$A$4:$A$724,$A20,Facturacion!$C$4:$C$724,"S13")</f>
        <v>8</v>
      </c>
      <c r="G20" s="16">
        <f t="shared" si="0"/>
        <v>23</v>
      </c>
    </row>
    <row r="21" spans="1:7" x14ac:dyDescent="0.3">
      <c r="A21" s="4">
        <v>45717</v>
      </c>
      <c r="B21" s="6">
        <f>COUNTIFS(Facturacion!$A$4:$A$724,$A21,Facturacion!$C$4:$C$724,"S03")</f>
        <v>8</v>
      </c>
      <c r="C21" s="6">
        <f>COUNTIFS(Facturacion!$A$4:$A$724,$A21,Facturacion!$C$4:$C$724,"S04")</f>
        <v>4</v>
      </c>
      <c r="D21" s="6">
        <f>COUNTIFS(Facturacion!$A$4:$A$724,$A21,Facturacion!$C$4:$C$724,"S06")</f>
        <v>7</v>
      </c>
      <c r="E21" s="6">
        <f>COUNTIFS(Facturacion!$A$4:$A$724,$A21,Facturacion!$C$4:$C$724,"S05")+COUNTIFS(Facturacion!$A$4:$A$724,$A21,Facturacion!$C$4:$C$724,"S14")</f>
        <v>3</v>
      </c>
      <c r="F21" s="6">
        <f>COUNTIFS(Facturacion!$A$4:$A$724,$A21,Facturacion!$C$4:$C$724,"S13")</f>
        <v>0</v>
      </c>
      <c r="G21" s="16">
        <f t="shared" si="0"/>
        <v>22</v>
      </c>
    </row>
    <row r="22" spans="1:7" x14ac:dyDescent="0.3">
      <c r="A22" s="4">
        <v>45748</v>
      </c>
      <c r="B22" s="6">
        <f>COUNTIFS(Facturacion!$A$4:$A$724,$A22,Facturacion!$C$4:$C$724,"S03")</f>
        <v>8</v>
      </c>
      <c r="C22" s="6">
        <f>COUNTIFS(Facturacion!$A$4:$A$724,$A22,Facturacion!$C$4:$C$724,"S04")</f>
        <v>4</v>
      </c>
      <c r="D22" s="6">
        <f>COUNTIFS(Facturacion!$A$4:$A$724,$A22,Facturacion!$C$4:$C$724,"S06")</f>
        <v>0</v>
      </c>
      <c r="E22" s="6">
        <f>COUNTIFS(Facturacion!$A$4:$A$724,$A22,Facturacion!$C$4:$C$724,"S05")+COUNTIFS(Facturacion!$A$4:$A$724,$A22,Facturacion!$C$4:$C$724,"S14")</f>
        <v>3</v>
      </c>
      <c r="F22" s="6">
        <f>COUNTIFS(Facturacion!$A$4:$A$724,$A22,Facturacion!$C$4:$C$724,"S13")</f>
        <v>0</v>
      </c>
      <c r="G22" s="16">
        <f t="shared" si="0"/>
        <v>15</v>
      </c>
    </row>
    <row r="23" spans="1:7" x14ac:dyDescent="0.3">
      <c r="A23" s="4">
        <v>45778</v>
      </c>
      <c r="B23" s="6">
        <f>COUNTIFS(Facturacion!$A$4:$A$724,$A23,Facturacion!$C$4:$C$724,"S03")</f>
        <v>8</v>
      </c>
      <c r="C23" s="6">
        <f>COUNTIFS(Facturacion!$A$4:$A$724,$A23,Facturacion!$C$4:$C$724,"S04")</f>
        <v>4</v>
      </c>
      <c r="D23" s="6">
        <f>COUNTIFS(Facturacion!$A$4:$A$724,$A23,Facturacion!$C$4:$C$724,"S06")</f>
        <v>0</v>
      </c>
      <c r="E23" s="6">
        <f>COUNTIFS(Facturacion!$A$4:$A$724,$A23,Facturacion!$C$4:$C$724,"S05")+COUNTIFS(Facturacion!$A$4:$A$724,$A23,Facturacion!$C$4:$C$724,"S14")</f>
        <v>3</v>
      </c>
      <c r="F23" s="6">
        <f>COUNTIFS(Facturacion!$A$4:$A$724,$A23,Facturacion!$C$4:$C$724,"S13")</f>
        <v>0</v>
      </c>
      <c r="G23" s="16">
        <f t="shared" si="0"/>
        <v>15</v>
      </c>
    </row>
    <row r="24" spans="1:7" x14ac:dyDescent="0.3">
      <c r="A24" s="4">
        <v>45809</v>
      </c>
      <c r="B24" s="6">
        <f>COUNTIFS(Facturacion!$A$4:$A$724,$A24,Facturacion!$C$4:$C$724,"S03")</f>
        <v>8</v>
      </c>
      <c r="C24" s="6">
        <f>COUNTIFS(Facturacion!$A$4:$A$724,$A24,Facturacion!$C$4:$C$724,"S04")</f>
        <v>4</v>
      </c>
      <c r="D24" s="6">
        <f>COUNTIFS(Facturacion!$A$4:$A$724,$A24,Facturacion!$C$4:$C$724,"S06")</f>
        <v>0</v>
      </c>
      <c r="E24" s="6">
        <f>COUNTIFS(Facturacion!$A$4:$A$724,$A24,Facturacion!$C$4:$C$724,"S05")+COUNTIFS(Facturacion!$A$4:$A$724,$A24,Facturacion!$C$4:$C$724,"S14")</f>
        <v>3</v>
      </c>
      <c r="F24" s="6">
        <f>COUNTIFS(Facturacion!$A$4:$A$724,$A24,Facturacion!$C$4:$C$724,"S13")</f>
        <v>0</v>
      </c>
      <c r="G24" s="16">
        <f t="shared" si="0"/>
        <v>15</v>
      </c>
    </row>
    <row r="25" spans="1:7" x14ac:dyDescent="0.3">
      <c r="A25" s="4">
        <v>45839</v>
      </c>
      <c r="B25" s="6">
        <f>COUNTIFS(Facturacion!$A$4:$A$724,$A25,Facturacion!$C$4:$C$724,"S03")</f>
        <v>8</v>
      </c>
      <c r="C25" s="6">
        <f>COUNTIFS(Facturacion!$A$4:$A$724,$A25,Facturacion!$C$4:$C$724,"S04")</f>
        <v>4</v>
      </c>
      <c r="D25" s="6">
        <f>COUNTIFS(Facturacion!$A$4:$A$724,$A25,Facturacion!$C$4:$C$724,"S06")</f>
        <v>0</v>
      </c>
      <c r="E25" s="6">
        <f>COUNTIFS(Facturacion!$A$4:$A$724,$A25,Facturacion!$C$4:$C$724,"S05")+COUNTIFS(Facturacion!$A$4:$A$724,$A25,Facturacion!$C$4:$C$724,"S14")</f>
        <v>3</v>
      </c>
      <c r="F25" s="6">
        <f>COUNTIFS(Facturacion!$A$4:$A$724,$A25,Facturacion!$C$4:$C$724,"S13")</f>
        <v>0</v>
      </c>
      <c r="G25" s="16">
        <f t="shared" si="0"/>
        <v>15</v>
      </c>
    </row>
    <row r="26" spans="1:7" x14ac:dyDescent="0.3">
      <c r="A26" s="4">
        <v>45870</v>
      </c>
      <c r="B26" s="6">
        <f>COUNTIFS(Facturacion!$A$4:$A$724,$A26,Facturacion!$C$4:$C$724,"S03")</f>
        <v>8</v>
      </c>
      <c r="C26" s="6">
        <f>COUNTIFS(Facturacion!$A$4:$A$724,$A26,Facturacion!$C$4:$C$724,"S04")</f>
        <v>4</v>
      </c>
      <c r="D26" s="6">
        <f>COUNTIFS(Facturacion!$A$4:$A$724,$A26,Facturacion!$C$4:$C$724,"S06")</f>
        <v>0</v>
      </c>
      <c r="E26" s="6">
        <f>COUNTIFS(Facturacion!$A$4:$A$724,$A26,Facturacion!$C$4:$C$724,"S05")+COUNTIFS(Facturacion!$A$4:$A$724,$A26,Facturacion!$C$4:$C$724,"S14")</f>
        <v>3</v>
      </c>
      <c r="F26" s="6">
        <f>COUNTIFS(Facturacion!$A$4:$A$724,$A26,Facturacion!$C$4:$C$724,"S13")</f>
        <v>0</v>
      </c>
      <c r="G26" s="16">
        <f t="shared" si="0"/>
        <v>15</v>
      </c>
    </row>
    <row r="27" spans="1:7" x14ac:dyDescent="0.3">
      <c r="A27" s="4">
        <v>45901</v>
      </c>
      <c r="B27" s="6">
        <f>COUNTIFS(Facturacion!$A$4:$A$724,$A27,Facturacion!$C$4:$C$724,"S03")</f>
        <v>8</v>
      </c>
      <c r="C27" s="6">
        <f>COUNTIFS(Facturacion!$A$4:$A$724,$A27,Facturacion!$C$4:$C$724,"S04")</f>
        <v>4</v>
      </c>
      <c r="D27" s="6">
        <f>COUNTIFS(Facturacion!$A$4:$A$724,$A27,Facturacion!$C$4:$C$724,"S06")</f>
        <v>0</v>
      </c>
      <c r="E27" s="6">
        <f>COUNTIFS(Facturacion!$A$4:$A$724,$A27,Facturacion!$C$4:$C$724,"S05")+COUNTIFS(Facturacion!$A$4:$A$724,$A27,Facturacion!$C$4:$C$724,"S14")</f>
        <v>3</v>
      </c>
      <c r="F27" s="6">
        <f>COUNTIFS(Facturacion!$A$4:$A$724,$A27,Facturacion!$C$4:$C$724,"S13")</f>
        <v>0</v>
      </c>
      <c r="G27" s="16">
        <f t="shared" si="0"/>
        <v>15</v>
      </c>
    </row>
    <row r="28" spans="1:7" x14ac:dyDescent="0.3">
      <c r="A28" s="4">
        <v>45931</v>
      </c>
      <c r="B28" s="6">
        <f>COUNTIFS(Facturacion!$A$4:$A$724,$A28,Facturacion!$C$4:$C$724,"S03")</f>
        <v>8</v>
      </c>
      <c r="C28" s="6">
        <f>COUNTIFS(Facturacion!$A$4:$A$724,$A28,Facturacion!$C$4:$C$724,"S04")</f>
        <v>4</v>
      </c>
      <c r="D28" s="6">
        <f>COUNTIFS(Facturacion!$A$4:$A$724,$A28,Facturacion!$C$4:$C$724,"S06")</f>
        <v>0</v>
      </c>
      <c r="E28" s="6">
        <f>COUNTIFS(Facturacion!$A$4:$A$724,$A28,Facturacion!$C$4:$C$724,"S05")+COUNTIFS(Facturacion!$A$4:$A$724,$A28,Facturacion!$C$4:$C$724,"S14")</f>
        <v>3</v>
      </c>
      <c r="F28" s="6">
        <f>COUNTIFS(Facturacion!$A$4:$A$724,$A28,Facturacion!$C$4:$C$724,"S13")</f>
        <v>0</v>
      </c>
      <c r="G28" s="16">
        <f t="shared" si="0"/>
        <v>15</v>
      </c>
    </row>
    <row r="29" spans="1:7" x14ac:dyDescent="0.3">
      <c r="A29" s="4">
        <v>45962</v>
      </c>
      <c r="B29" s="6">
        <f>COUNTIFS(Facturacion!$A$4:$A$724,$A29,Facturacion!$C$4:$C$724,"S03")</f>
        <v>8</v>
      </c>
      <c r="C29" s="6">
        <f>COUNTIFS(Facturacion!$A$4:$A$724,$A29,Facturacion!$C$4:$C$724,"S04")</f>
        <v>4</v>
      </c>
      <c r="D29" s="6">
        <f>COUNTIFS(Facturacion!$A$4:$A$724,$A29,Facturacion!$C$4:$C$724,"S06")</f>
        <v>0</v>
      </c>
      <c r="E29" s="6">
        <f>COUNTIFS(Facturacion!$A$4:$A$724,$A29,Facturacion!$C$4:$C$724,"S05")+COUNTIFS(Facturacion!$A$4:$A$724,$A29,Facturacion!$C$4:$C$724,"S14")</f>
        <v>3</v>
      </c>
      <c r="F29" s="6">
        <f>COUNTIFS(Facturacion!$A$4:$A$724,$A29,Facturacion!$C$4:$C$724,"S13")</f>
        <v>0</v>
      </c>
      <c r="G29" s="16">
        <f t="shared" si="0"/>
        <v>15</v>
      </c>
    </row>
    <row r="30" spans="1:7" x14ac:dyDescent="0.3">
      <c r="A30" s="4">
        <v>45992</v>
      </c>
      <c r="B30" s="6">
        <f>COUNTIFS(Facturacion!$A$4:$A$724,$A30,Facturacion!$C$4:$C$724,"S03")</f>
        <v>8</v>
      </c>
      <c r="C30" s="6">
        <f>COUNTIFS(Facturacion!$A$4:$A$724,$A30,Facturacion!$C$4:$C$724,"S04")</f>
        <v>4</v>
      </c>
      <c r="D30" s="6">
        <f>COUNTIFS(Facturacion!$A$4:$A$724,$A30,Facturacion!$C$4:$C$724,"S06")</f>
        <v>5</v>
      </c>
      <c r="E30" s="6">
        <f>COUNTIFS(Facturacion!$A$4:$A$724,$A30,Facturacion!$C$4:$C$724,"S05")+COUNTIFS(Facturacion!$A$4:$A$724,$A30,Facturacion!$C$4:$C$724,"S14")</f>
        <v>3</v>
      </c>
      <c r="F30" s="6">
        <f>COUNTIFS(Facturacion!$A$4:$A$724,$A30,Facturacion!$C$4:$C$724,"S13")</f>
        <v>0</v>
      </c>
      <c r="G30" s="16">
        <f t="shared" si="0"/>
        <v>20</v>
      </c>
    </row>
    <row r="31" spans="1:7" x14ac:dyDescent="0.3">
      <c r="A31" s="4">
        <v>46023</v>
      </c>
      <c r="B31" s="6">
        <f>COUNTIFS(Facturacion!$A$4:$A$724,$A31,Facturacion!$C$4:$C$724,"S03")</f>
        <v>8</v>
      </c>
      <c r="C31" s="6">
        <f>COUNTIFS(Facturacion!$A$4:$A$724,$A31,Facturacion!$C$4:$C$724,"S04")</f>
        <v>4</v>
      </c>
      <c r="D31" s="6">
        <f>COUNTIFS(Facturacion!$A$4:$A$724,$A31,Facturacion!$C$4:$C$724,"S06")</f>
        <v>0</v>
      </c>
      <c r="E31" s="6">
        <f>COUNTIFS(Facturacion!$A$4:$A$724,$A31,Facturacion!$C$4:$C$724,"S05")+COUNTIFS(Facturacion!$A$4:$A$724,$A31,Facturacion!$C$4:$C$724,"S14")</f>
        <v>6</v>
      </c>
      <c r="F31" s="6">
        <f>COUNTIFS(Facturacion!$A$4:$A$724,$A31,Facturacion!$C$4:$C$724,"S13")</f>
        <v>0</v>
      </c>
      <c r="G31" s="16">
        <f t="shared" si="0"/>
        <v>18</v>
      </c>
    </row>
    <row r="32" spans="1:7" x14ac:dyDescent="0.3">
      <c r="A32" s="4">
        <v>46054</v>
      </c>
      <c r="B32" s="6">
        <f>COUNTIFS(Facturacion!$A$4:$A$724,$A32,Facturacion!$C$4:$C$724,"S03")</f>
        <v>8</v>
      </c>
      <c r="C32" s="6">
        <f>COUNTIFS(Facturacion!$A$4:$A$724,$A32,Facturacion!$C$4:$C$724,"S04")</f>
        <v>4</v>
      </c>
      <c r="D32" s="6">
        <f>COUNTIFS(Facturacion!$A$4:$A$724,$A32,Facturacion!$C$4:$C$724,"S06")</f>
        <v>0</v>
      </c>
      <c r="E32" s="6">
        <f>COUNTIFS(Facturacion!$A$4:$A$724,$A32,Facturacion!$C$4:$C$724,"S05")+COUNTIFS(Facturacion!$A$4:$A$724,$A32,Facturacion!$C$4:$C$724,"S14")</f>
        <v>3</v>
      </c>
      <c r="F32" s="6">
        <f>COUNTIFS(Facturacion!$A$4:$A$724,$A32,Facturacion!$C$4:$C$724,"S13")</f>
        <v>8</v>
      </c>
      <c r="G32" s="16">
        <f t="shared" si="0"/>
        <v>23</v>
      </c>
    </row>
    <row r="33" spans="1:7" x14ac:dyDescent="0.3">
      <c r="A33" s="4">
        <v>46082</v>
      </c>
      <c r="B33" s="6">
        <f>COUNTIFS(Facturacion!$A$4:$A$724,$A33,Facturacion!$C$4:$C$724,"S03")</f>
        <v>8</v>
      </c>
      <c r="C33" s="6">
        <f>COUNTIFS(Facturacion!$A$4:$A$724,$A33,Facturacion!$C$4:$C$724,"S04")</f>
        <v>4</v>
      </c>
      <c r="D33" s="6">
        <f>COUNTIFS(Facturacion!$A$4:$A$724,$A33,Facturacion!$C$4:$C$724,"S06")</f>
        <v>7</v>
      </c>
      <c r="E33" s="6">
        <f>COUNTIFS(Facturacion!$A$4:$A$724,$A33,Facturacion!$C$4:$C$724,"S05")+COUNTIFS(Facturacion!$A$4:$A$724,$A33,Facturacion!$C$4:$C$724,"S14")</f>
        <v>3</v>
      </c>
      <c r="F33" s="6">
        <f>COUNTIFS(Facturacion!$A$4:$A$724,$A33,Facturacion!$C$4:$C$724,"S13")</f>
        <v>0</v>
      </c>
      <c r="G33" s="16">
        <f t="shared" si="0"/>
        <v>22</v>
      </c>
    </row>
    <row r="34" spans="1:7" x14ac:dyDescent="0.3">
      <c r="A34" s="4">
        <v>46113</v>
      </c>
      <c r="B34" s="6">
        <f>COUNTIFS(Facturacion!$A$4:$A$724,$A34,Facturacion!$C$4:$C$724,"S03")</f>
        <v>8</v>
      </c>
      <c r="C34" s="6">
        <f>COUNTIFS(Facturacion!$A$4:$A$724,$A34,Facturacion!$C$4:$C$724,"S04")</f>
        <v>4</v>
      </c>
      <c r="D34" s="6">
        <f>COUNTIFS(Facturacion!$A$4:$A$724,$A34,Facturacion!$C$4:$C$724,"S06")</f>
        <v>0</v>
      </c>
      <c r="E34" s="6">
        <f>COUNTIFS(Facturacion!$A$4:$A$724,$A34,Facturacion!$C$4:$C$724,"S05")+COUNTIFS(Facturacion!$A$4:$A$724,$A34,Facturacion!$C$4:$C$724,"S14")</f>
        <v>3</v>
      </c>
      <c r="F34" s="6">
        <f>COUNTIFS(Facturacion!$A$4:$A$724,$A34,Facturacion!$C$4:$C$724,"S13")</f>
        <v>0</v>
      </c>
      <c r="G34" s="16">
        <f t="shared" si="0"/>
        <v>15</v>
      </c>
    </row>
    <row r="35" spans="1:7" x14ac:dyDescent="0.3">
      <c r="A35" s="4">
        <v>46143</v>
      </c>
      <c r="B35" s="6">
        <f>COUNTIFS(Facturacion!$A$4:$A$724,$A35,Facturacion!$C$4:$C$724,"S03")</f>
        <v>8</v>
      </c>
      <c r="C35" s="6">
        <f>COUNTIFS(Facturacion!$A$4:$A$724,$A35,Facturacion!$C$4:$C$724,"S04")</f>
        <v>4</v>
      </c>
      <c r="D35" s="6">
        <f>COUNTIFS(Facturacion!$A$4:$A$724,$A35,Facturacion!$C$4:$C$724,"S06")</f>
        <v>0</v>
      </c>
      <c r="E35" s="6">
        <f>COUNTIFS(Facturacion!$A$4:$A$724,$A35,Facturacion!$C$4:$C$724,"S05")+COUNTIFS(Facturacion!$A$4:$A$724,$A35,Facturacion!$C$4:$C$724,"S14")</f>
        <v>3</v>
      </c>
      <c r="F35" s="6">
        <f>COUNTIFS(Facturacion!$A$4:$A$724,$A35,Facturacion!$C$4:$C$724,"S13")</f>
        <v>0</v>
      </c>
      <c r="G35" s="16">
        <f t="shared" si="0"/>
        <v>15</v>
      </c>
    </row>
    <row r="36" spans="1:7" x14ac:dyDescent="0.3">
      <c r="A36" s="4">
        <v>46174</v>
      </c>
      <c r="B36" s="6">
        <f>COUNTIFS(Facturacion!$A$4:$A$724,$A36,Facturacion!$C$4:$C$724,"S03")</f>
        <v>8</v>
      </c>
      <c r="C36" s="6">
        <f>COUNTIFS(Facturacion!$A$4:$A$724,$A36,Facturacion!$C$4:$C$724,"S04")</f>
        <v>4</v>
      </c>
      <c r="D36" s="6">
        <f>COUNTIFS(Facturacion!$A$4:$A$724,$A36,Facturacion!$C$4:$C$724,"S06")</f>
        <v>0</v>
      </c>
      <c r="E36" s="6">
        <f>COUNTIFS(Facturacion!$A$4:$A$724,$A36,Facturacion!$C$4:$C$724,"S05")+COUNTIFS(Facturacion!$A$4:$A$724,$A36,Facturacion!$C$4:$C$724,"S14")</f>
        <v>3</v>
      </c>
      <c r="F36" s="6">
        <f>COUNTIFS(Facturacion!$A$4:$A$724,$A36,Facturacion!$C$4:$C$724,"S13")</f>
        <v>0</v>
      </c>
      <c r="G36" s="16">
        <f t="shared" si="0"/>
        <v>15</v>
      </c>
    </row>
    <row r="37" spans="1:7" x14ac:dyDescent="0.3">
      <c r="A37" s="4">
        <v>46204</v>
      </c>
      <c r="B37" s="6">
        <f>COUNTIFS(Facturacion!$A$4:$A$724,$A37,Facturacion!$C$4:$C$724,"S03")</f>
        <v>8</v>
      </c>
      <c r="C37" s="6">
        <f>COUNTIFS(Facturacion!$A$4:$A$724,$A37,Facturacion!$C$4:$C$724,"S04")</f>
        <v>4</v>
      </c>
      <c r="D37" s="6">
        <f>COUNTIFS(Facturacion!$A$4:$A$724,$A37,Facturacion!$C$4:$C$724,"S06")</f>
        <v>0</v>
      </c>
      <c r="E37" s="6">
        <f>COUNTIFS(Facturacion!$A$4:$A$724,$A37,Facturacion!$C$4:$C$724,"S05")+COUNTIFS(Facturacion!$A$4:$A$724,$A37,Facturacion!$C$4:$C$724,"S14")</f>
        <v>3</v>
      </c>
      <c r="F37" s="6">
        <f>COUNTIFS(Facturacion!$A$4:$A$724,$A37,Facturacion!$C$4:$C$724,"S13")</f>
        <v>0</v>
      </c>
      <c r="G37" s="16">
        <f t="shared" si="0"/>
        <v>15</v>
      </c>
    </row>
    <row r="38" spans="1:7" x14ac:dyDescent="0.3">
      <c r="A38" s="4">
        <v>46235</v>
      </c>
      <c r="B38" s="6">
        <f>COUNTIFS(Facturacion!$A$4:$A$724,$A38,Facturacion!$C$4:$C$724,"S03")</f>
        <v>8</v>
      </c>
      <c r="C38" s="6">
        <f>COUNTIFS(Facturacion!$A$4:$A$724,$A38,Facturacion!$C$4:$C$724,"S04")</f>
        <v>4</v>
      </c>
      <c r="D38" s="6">
        <f>COUNTIFS(Facturacion!$A$4:$A$724,$A38,Facturacion!$C$4:$C$724,"S06")</f>
        <v>0</v>
      </c>
      <c r="E38" s="6">
        <f>COUNTIFS(Facturacion!$A$4:$A$724,$A38,Facturacion!$C$4:$C$724,"S05")+COUNTIFS(Facturacion!$A$4:$A$724,$A38,Facturacion!$C$4:$C$724,"S14")</f>
        <v>3</v>
      </c>
      <c r="F38" s="6">
        <f>COUNTIFS(Facturacion!$A$4:$A$724,$A38,Facturacion!$C$4:$C$724,"S13")</f>
        <v>0</v>
      </c>
      <c r="G38" s="16">
        <f t="shared" si="0"/>
        <v>15</v>
      </c>
    </row>
    <row r="39" spans="1:7" x14ac:dyDescent="0.3">
      <c r="A39" s="4">
        <v>46266</v>
      </c>
      <c r="B39" s="6">
        <f>COUNTIFS(Facturacion!$A$4:$A$724,$A39,Facturacion!$C$4:$C$724,"S03")</f>
        <v>8</v>
      </c>
      <c r="C39" s="6">
        <f>COUNTIFS(Facturacion!$A$4:$A$724,$A39,Facturacion!$C$4:$C$724,"S04")</f>
        <v>4</v>
      </c>
      <c r="D39" s="6">
        <f>COUNTIFS(Facturacion!$A$4:$A$724,$A39,Facturacion!$C$4:$C$724,"S06")</f>
        <v>0</v>
      </c>
      <c r="E39" s="6">
        <f>COUNTIFS(Facturacion!$A$4:$A$724,$A39,Facturacion!$C$4:$C$724,"S05")+COUNTIFS(Facturacion!$A$4:$A$724,$A39,Facturacion!$C$4:$C$724,"S14")</f>
        <v>3</v>
      </c>
      <c r="F39" s="6">
        <f>COUNTIFS(Facturacion!$A$4:$A$724,$A39,Facturacion!$C$4:$C$724,"S13")</f>
        <v>0</v>
      </c>
      <c r="G39" s="16">
        <f t="shared" si="0"/>
        <v>15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26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baseColWidth="10" defaultColWidth="8.6640625" defaultRowHeight="14.4" x14ac:dyDescent="0.3"/>
  <cols>
    <col min="1" max="1" width="7" customWidth="1"/>
    <col min="2" max="2" width="9" customWidth="1"/>
    <col min="3" max="3" width="46" customWidth="1"/>
    <col min="4" max="4" width="48" customWidth="1"/>
    <col min="5" max="5" width="11" customWidth="1"/>
    <col min="6" max="6" width="13" customWidth="1"/>
    <col min="7" max="7" width="12" customWidth="1"/>
    <col min="8" max="8" width="17" customWidth="1"/>
    <col min="9" max="9" width="16" customWidth="1"/>
    <col min="10" max="10" width="14" customWidth="1"/>
    <col min="11" max="11" width="38" customWidth="1"/>
    <col min="12" max="12" width="18" customWidth="1"/>
  </cols>
  <sheetData>
    <row r="1" spans="1:12" ht="16.8" x14ac:dyDescent="0.3">
      <c r="A1" s="1" t="s">
        <v>83</v>
      </c>
    </row>
    <row r="2" spans="1:12" x14ac:dyDescent="0.3">
      <c r="A2" s="12" t="s">
        <v>84</v>
      </c>
    </row>
    <row r="3" spans="1:12" ht="45" customHeight="1" x14ac:dyDescent="0.3">
      <c r="A3" s="2" t="s">
        <v>28</v>
      </c>
      <c r="B3" s="2" t="s">
        <v>85</v>
      </c>
      <c r="C3" s="2" t="s">
        <v>59</v>
      </c>
      <c r="D3" s="2" t="s">
        <v>86</v>
      </c>
      <c r="E3" s="2" t="s">
        <v>87</v>
      </c>
      <c r="F3" s="2" t="s">
        <v>88</v>
      </c>
      <c r="G3" s="2" t="s">
        <v>89</v>
      </c>
      <c r="H3" s="2" t="s">
        <v>90</v>
      </c>
      <c r="I3" s="2" t="s">
        <v>91</v>
      </c>
      <c r="J3" s="2" t="s">
        <v>92</v>
      </c>
      <c r="K3" s="2" t="s">
        <v>93</v>
      </c>
      <c r="L3" s="2" t="s">
        <v>94</v>
      </c>
    </row>
    <row r="4" spans="1:12" ht="27.6" x14ac:dyDescent="0.3">
      <c r="A4" s="17" t="s">
        <v>95</v>
      </c>
      <c r="B4" s="17" t="s">
        <v>96</v>
      </c>
      <c r="C4" s="17" t="s">
        <v>97</v>
      </c>
      <c r="D4" s="17" t="s">
        <v>98</v>
      </c>
      <c r="E4" s="17" t="s">
        <v>99</v>
      </c>
      <c r="F4" s="17">
        <v>80</v>
      </c>
      <c r="G4" s="17">
        <v>80</v>
      </c>
      <c r="H4" s="18">
        <f>G4*Parametros!$B$4</f>
        <v>2294480</v>
      </c>
      <c r="I4" s="18">
        <f>H4*(1+Parametros!$B$5)</f>
        <v>2592762.4</v>
      </c>
      <c r="J4" s="17" t="s">
        <v>100</v>
      </c>
      <c r="K4" s="17" t="s">
        <v>101</v>
      </c>
      <c r="L4" s="18">
        <f>SUMIFS(Facturacion!$I$4:$I$724,Facturacion!$C$4:$C$724,A4)</f>
        <v>0</v>
      </c>
    </row>
    <row r="5" spans="1:12" ht="27.6" x14ac:dyDescent="0.3">
      <c r="A5" s="17" t="s">
        <v>102</v>
      </c>
      <c r="B5" s="17" t="s">
        <v>96</v>
      </c>
      <c r="C5" s="17" t="s">
        <v>103</v>
      </c>
      <c r="D5" s="17" t="s">
        <v>104</v>
      </c>
      <c r="E5" s="17" t="s">
        <v>99</v>
      </c>
      <c r="F5" s="17">
        <v>100</v>
      </c>
      <c r="G5" s="17">
        <v>100</v>
      </c>
      <c r="H5" s="18">
        <f>G5*Parametros!$B$4</f>
        <v>2868100</v>
      </c>
      <c r="I5" s="18">
        <f>H5*(1+Parametros!$B$5)</f>
        <v>3240952.9999999995</v>
      </c>
      <c r="J5" s="17" t="s">
        <v>100</v>
      </c>
      <c r="K5" s="17" t="s">
        <v>101</v>
      </c>
      <c r="L5" s="18">
        <f>SUMIFS(Facturacion!$I$4:$I$724,Facturacion!$C$4:$C$724,A5)</f>
        <v>0</v>
      </c>
    </row>
    <row r="6" spans="1:12" x14ac:dyDescent="0.3">
      <c r="A6" s="19" t="s">
        <v>68</v>
      </c>
      <c r="B6" s="19" t="s">
        <v>105</v>
      </c>
      <c r="C6" s="19" t="s">
        <v>106</v>
      </c>
      <c r="D6" s="19" t="s">
        <v>107</v>
      </c>
      <c r="E6" s="19" t="s">
        <v>108</v>
      </c>
      <c r="F6" s="19" t="s">
        <v>109</v>
      </c>
      <c r="G6" s="19">
        <v>1</v>
      </c>
      <c r="H6" s="20">
        <f>G6*Parametros!$B$4</f>
        <v>28681</v>
      </c>
      <c r="I6" s="20">
        <f>H6*(1+Parametros!$B$5)</f>
        <v>32409.529999999995</v>
      </c>
      <c r="J6" s="19" t="s">
        <v>110</v>
      </c>
      <c r="K6" s="19" t="s">
        <v>111</v>
      </c>
      <c r="L6" s="20">
        <f>SUMIFS(Facturacion!$I$4:$I$724,Facturacion!$C$4:$C$724,A6)</f>
        <v>902019</v>
      </c>
    </row>
    <row r="7" spans="1:12" ht="28.8" x14ac:dyDescent="0.3">
      <c r="A7" s="19" t="s">
        <v>64</v>
      </c>
      <c r="B7" s="19" t="s">
        <v>105</v>
      </c>
      <c r="C7" s="19" t="s">
        <v>112</v>
      </c>
      <c r="D7" s="19" t="s">
        <v>113</v>
      </c>
      <c r="E7" s="19" t="s">
        <v>114</v>
      </c>
      <c r="F7" s="19" t="s">
        <v>109</v>
      </c>
      <c r="G7" s="19">
        <v>3</v>
      </c>
      <c r="H7" s="20">
        <f>G7*Parametros!$B$4</f>
        <v>86043</v>
      </c>
      <c r="I7" s="20">
        <f>H7*(1+Parametros!$B$5)</f>
        <v>97228.59</v>
      </c>
      <c r="J7" s="19" t="s">
        <v>110</v>
      </c>
      <c r="K7" s="19" t="s">
        <v>115</v>
      </c>
      <c r="L7" s="20">
        <f>SUMIFS(Facturacion!$I$4:$I$724,Facturacion!$C$4:$C$724,A7)</f>
        <v>6424544</v>
      </c>
    </row>
    <row r="8" spans="1:12" x14ac:dyDescent="0.3">
      <c r="A8" s="19" t="s">
        <v>65</v>
      </c>
      <c r="B8" s="19" t="s">
        <v>105</v>
      </c>
      <c r="C8" s="19" t="s">
        <v>116</v>
      </c>
      <c r="D8" s="19" t="s">
        <v>117</v>
      </c>
      <c r="E8" s="19" t="s">
        <v>114</v>
      </c>
      <c r="F8" s="19" t="s">
        <v>109</v>
      </c>
      <c r="G8" s="19">
        <v>0.75</v>
      </c>
      <c r="H8" s="20">
        <f>G8*Parametros!$B$4</f>
        <v>21510.75</v>
      </c>
      <c r="I8" s="20">
        <f>H8*(1+Parametros!$B$5)</f>
        <v>24307.147499999999</v>
      </c>
      <c r="J8" s="19" t="s">
        <v>110</v>
      </c>
      <c r="K8" s="19" t="s">
        <v>118</v>
      </c>
      <c r="L8" s="20">
        <f>SUMIFS(Facturacion!$I$4:$I$724,Facturacion!$C$4:$C$724,A8)</f>
        <v>6547932</v>
      </c>
    </row>
    <row r="9" spans="1:12" x14ac:dyDescent="0.3">
      <c r="A9" s="19" t="s">
        <v>66</v>
      </c>
      <c r="B9" s="19" t="s">
        <v>105</v>
      </c>
      <c r="C9" s="19" t="s">
        <v>119</v>
      </c>
      <c r="D9" s="19" t="s">
        <v>117</v>
      </c>
      <c r="E9" s="19" t="s">
        <v>114</v>
      </c>
      <c r="F9" s="19" t="s">
        <v>109</v>
      </c>
      <c r="G9" s="19">
        <v>0.25</v>
      </c>
      <c r="H9" s="20">
        <f>G9*Parametros!$B$4</f>
        <v>7170.25</v>
      </c>
      <c r="I9" s="20">
        <f>H9*(1+Parametros!$B$5)</f>
        <v>8102.3824999999988</v>
      </c>
      <c r="J9" s="19" t="s">
        <v>110</v>
      </c>
      <c r="K9" s="19" t="s">
        <v>120</v>
      </c>
      <c r="L9" s="20">
        <f>SUMIFS(Facturacion!$I$4:$I$724,Facturacion!$C$4:$C$724,A9)</f>
        <v>1032480</v>
      </c>
    </row>
    <row r="10" spans="1:12" ht="28.8" x14ac:dyDescent="0.3">
      <c r="A10" s="19" t="s">
        <v>67</v>
      </c>
      <c r="B10" s="19" t="s">
        <v>105</v>
      </c>
      <c r="C10" s="19" t="s">
        <v>121</v>
      </c>
      <c r="D10" s="19" t="s">
        <v>122</v>
      </c>
      <c r="E10" s="19" t="s">
        <v>114</v>
      </c>
      <c r="F10" s="19" t="s">
        <v>109</v>
      </c>
      <c r="G10" s="19">
        <v>3</v>
      </c>
      <c r="H10" s="20">
        <f>G10*Parametros!$B$4</f>
        <v>86043</v>
      </c>
      <c r="I10" s="20">
        <f>H10*(1+Parametros!$B$5)</f>
        <v>97228.59</v>
      </c>
      <c r="J10" s="19" t="s">
        <v>110</v>
      </c>
      <c r="K10" s="19" t="s">
        <v>123</v>
      </c>
      <c r="L10" s="20">
        <f>SUMIFS(Facturacion!$I$4:$I$724,Facturacion!$C$4:$C$724,A10)</f>
        <v>36611327</v>
      </c>
    </row>
    <row r="11" spans="1:12" x14ac:dyDescent="0.3">
      <c r="A11" s="19" t="s">
        <v>69</v>
      </c>
      <c r="B11" s="19" t="s">
        <v>105</v>
      </c>
      <c r="C11" s="19" t="s">
        <v>124</v>
      </c>
      <c r="D11" s="19" t="s">
        <v>117</v>
      </c>
      <c r="E11" s="19" t="s">
        <v>99</v>
      </c>
      <c r="F11" s="19" t="s">
        <v>109</v>
      </c>
      <c r="G11" s="19">
        <v>1.5</v>
      </c>
      <c r="H11" s="20">
        <f>G11*Parametros!$B$4</f>
        <v>43021.5</v>
      </c>
      <c r="I11" s="20">
        <f>H11*(1+Parametros!$B$5)</f>
        <v>48614.294999999998</v>
      </c>
      <c r="J11" s="19" t="s">
        <v>110</v>
      </c>
      <c r="K11" s="19" t="s">
        <v>118</v>
      </c>
      <c r="L11" s="20">
        <f>SUMIFS(Facturacion!$I$4:$I$724,Facturacion!$C$4:$C$724,A11)</f>
        <v>1629453</v>
      </c>
    </row>
    <row r="12" spans="1:12" x14ac:dyDescent="0.3">
      <c r="A12" s="19" t="s">
        <v>70</v>
      </c>
      <c r="B12" s="19" t="s">
        <v>105</v>
      </c>
      <c r="C12" s="19" t="s">
        <v>125</v>
      </c>
      <c r="D12" s="19" t="s">
        <v>126</v>
      </c>
      <c r="E12" s="19" t="s">
        <v>99</v>
      </c>
      <c r="F12" s="19" t="s">
        <v>109</v>
      </c>
      <c r="G12" s="19">
        <v>6</v>
      </c>
      <c r="H12" s="20">
        <f>G12*Parametros!$B$4</f>
        <v>172086</v>
      </c>
      <c r="I12" s="20">
        <f>H12*(1+Parametros!$B$5)</f>
        <v>194457.18</v>
      </c>
      <c r="J12" s="19" t="s">
        <v>110</v>
      </c>
      <c r="K12" s="19" t="s">
        <v>127</v>
      </c>
      <c r="L12" s="20">
        <f>SUMIFS(Facturacion!$I$4:$I$724,Facturacion!$C$4:$C$724,A12)</f>
        <v>1548774</v>
      </c>
    </row>
    <row r="13" spans="1:12" x14ac:dyDescent="0.3">
      <c r="A13" s="19" t="s">
        <v>72</v>
      </c>
      <c r="B13" s="19" t="s">
        <v>105</v>
      </c>
      <c r="C13" s="19" t="s">
        <v>128</v>
      </c>
      <c r="D13" s="19" t="s">
        <v>117</v>
      </c>
      <c r="E13" s="19" t="s">
        <v>99</v>
      </c>
      <c r="F13" s="19" t="s">
        <v>109</v>
      </c>
      <c r="G13" s="19">
        <v>0.5</v>
      </c>
      <c r="H13" s="20">
        <f>G13*Parametros!$B$4</f>
        <v>14340.5</v>
      </c>
      <c r="I13" s="20">
        <f>H13*(1+Parametros!$B$5)</f>
        <v>16204.764999999998</v>
      </c>
      <c r="J13" s="19" t="s">
        <v>110</v>
      </c>
      <c r="K13" s="19" t="s">
        <v>118</v>
      </c>
      <c r="L13" s="20">
        <f>SUMIFS(Facturacion!$I$4:$I$724,Facturacion!$C$4:$C$724,A13)</f>
        <v>348486</v>
      </c>
    </row>
    <row r="14" spans="1:12" x14ac:dyDescent="0.3">
      <c r="A14" s="19" t="s">
        <v>71</v>
      </c>
      <c r="B14" s="19" t="s">
        <v>105</v>
      </c>
      <c r="C14" s="19" t="s">
        <v>129</v>
      </c>
      <c r="D14" s="19" t="s">
        <v>117</v>
      </c>
      <c r="E14" s="19" t="s">
        <v>99</v>
      </c>
      <c r="F14" s="19" t="s">
        <v>109</v>
      </c>
      <c r="G14" s="19">
        <v>2</v>
      </c>
      <c r="H14" s="20">
        <f>G14*Parametros!$B$4</f>
        <v>57362</v>
      </c>
      <c r="I14" s="20">
        <f>H14*(1+Parametros!$B$5)</f>
        <v>64819.05999999999</v>
      </c>
      <c r="J14" s="19" t="s">
        <v>110</v>
      </c>
      <c r="K14" s="19" t="s">
        <v>118</v>
      </c>
      <c r="L14" s="20">
        <f>SUMIFS(Facturacion!$I$4:$I$724,Facturacion!$C$4:$C$724,A14)</f>
        <v>516258</v>
      </c>
    </row>
    <row r="15" spans="1:12" x14ac:dyDescent="0.3">
      <c r="A15" s="17" t="s">
        <v>130</v>
      </c>
      <c r="B15" s="17" t="s">
        <v>131</v>
      </c>
      <c r="C15" s="17" t="s">
        <v>132</v>
      </c>
      <c r="D15" s="17" t="s">
        <v>133</v>
      </c>
      <c r="E15" s="17" t="s">
        <v>108</v>
      </c>
      <c r="F15" s="17">
        <v>18</v>
      </c>
      <c r="G15" s="17">
        <v>18</v>
      </c>
      <c r="H15" s="18">
        <f>G15*Parametros!$B$4</f>
        <v>516258</v>
      </c>
      <c r="I15" s="18">
        <f>H15*(1+Parametros!$B$5)</f>
        <v>583371.53999999992</v>
      </c>
      <c r="J15" s="17" t="s">
        <v>100</v>
      </c>
      <c r="K15" s="17" t="s">
        <v>101</v>
      </c>
      <c r="L15" s="18">
        <f>SUMIFS(Facturacion!$I$4:$I$724,Facturacion!$C$4:$C$724,A15)</f>
        <v>0</v>
      </c>
    </row>
    <row r="16" spans="1:12" x14ac:dyDescent="0.3">
      <c r="A16" s="19" t="s">
        <v>74</v>
      </c>
      <c r="B16" s="19" t="s">
        <v>134</v>
      </c>
      <c r="C16" s="19" t="s">
        <v>135</v>
      </c>
      <c r="D16" s="19" t="s">
        <v>136</v>
      </c>
      <c r="E16" s="19" t="s">
        <v>108</v>
      </c>
      <c r="F16" s="19">
        <v>3</v>
      </c>
      <c r="G16" s="19">
        <v>3</v>
      </c>
      <c r="H16" s="20">
        <f>G16*Parametros!$B$4</f>
        <v>86043</v>
      </c>
      <c r="I16" s="20">
        <f>H16*(1+Parametros!$B$5)</f>
        <v>97228.59</v>
      </c>
      <c r="J16" s="19" t="s">
        <v>110</v>
      </c>
      <c r="K16" s="19" t="s">
        <v>101</v>
      </c>
      <c r="L16" s="20">
        <f>SUMIFS(Facturacion!$I$4:$I$724,Facturacion!$C$4:$C$724,A16)</f>
        <v>451725</v>
      </c>
    </row>
    <row r="17" spans="1:12" x14ac:dyDescent="0.3">
      <c r="A17" s="19" t="s">
        <v>75</v>
      </c>
      <c r="B17" s="19" t="s">
        <v>137</v>
      </c>
      <c r="C17" s="19" t="s">
        <v>138</v>
      </c>
      <c r="D17" s="19" t="s">
        <v>139</v>
      </c>
      <c r="E17" s="19" t="s">
        <v>108</v>
      </c>
      <c r="F17" s="19">
        <v>3</v>
      </c>
      <c r="G17" s="19">
        <v>3</v>
      </c>
      <c r="H17" s="20">
        <f>G17*Parametros!$B$4</f>
        <v>86043</v>
      </c>
      <c r="I17" s="20">
        <f>H17*(1+Parametros!$B$5)</f>
        <v>97228.59</v>
      </c>
      <c r="J17" s="19" t="s">
        <v>110</v>
      </c>
      <c r="K17" s="19" t="s">
        <v>140</v>
      </c>
      <c r="L17" s="20">
        <f>SUMIFS(Facturacion!$I$4:$I$724,Facturacion!$C$4:$C$724,A17)</f>
        <v>189294</v>
      </c>
    </row>
    <row r="18" spans="1:12" ht="27.6" x14ac:dyDescent="0.3">
      <c r="A18" s="17" t="s">
        <v>141</v>
      </c>
      <c r="B18" s="17" t="s">
        <v>142</v>
      </c>
      <c r="C18" s="17" t="s">
        <v>143</v>
      </c>
      <c r="D18" s="17" t="s">
        <v>144</v>
      </c>
      <c r="E18" s="17" t="s">
        <v>108</v>
      </c>
      <c r="F18" s="17">
        <v>3</v>
      </c>
      <c r="G18" s="17">
        <v>3</v>
      </c>
      <c r="H18" s="18">
        <f>G18*Parametros!$B$4</f>
        <v>86043</v>
      </c>
      <c r="I18" s="18">
        <f>H18*(1+Parametros!$B$5)</f>
        <v>97228.59</v>
      </c>
      <c r="J18" s="17" t="s">
        <v>100</v>
      </c>
      <c r="K18" s="17" t="s">
        <v>101</v>
      </c>
      <c r="L18" s="18">
        <f>SUMIFS(Facturacion!$I$4:$I$724,Facturacion!$C$4:$C$724,A18)</f>
        <v>0</v>
      </c>
    </row>
    <row r="19" spans="1:12" ht="27.6" x14ac:dyDescent="0.3">
      <c r="A19" s="17" t="s">
        <v>145</v>
      </c>
      <c r="B19" s="17" t="s">
        <v>146</v>
      </c>
      <c r="C19" s="17" t="s">
        <v>147</v>
      </c>
      <c r="D19" s="17" t="s">
        <v>148</v>
      </c>
      <c r="E19" s="17" t="s">
        <v>108</v>
      </c>
      <c r="F19" s="17">
        <v>0.5</v>
      </c>
      <c r="G19" s="17">
        <v>0.5</v>
      </c>
      <c r="H19" s="18">
        <f>G19*Parametros!$B$4</f>
        <v>14340.5</v>
      </c>
      <c r="I19" s="18">
        <f>H19*(1+Parametros!$B$5)</f>
        <v>16204.764999999998</v>
      </c>
      <c r="J19" s="17" t="s">
        <v>100</v>
      </c>
      <c r="K19" s="17" t="s">
        <v>149</v>
      </c>
      <c r="L19" s="18">
        <f>SUMIFS(Facturacion!$I$4:$I$724,Facturacion!$C$4:$C$724,A19)</f>
        <v>0</v>
      </c>
    </row>
    <row r="20" spans="1:12" x14ac:dyDescent="0.3">
      <c r="A20" s="19" t="s">
        <v>150</v>
      </c>
      <c r="B20" s="19" t="s">
        <v>151</v>
      </c>
      <c r="C20" s="19" t="s">
        <v>152</v>
      </c>
      <c r="D20" s="19" t="s">
        <v>153</v>
      </c>
      <c r="E20" s="19" t="s">
        <v>108</v>
      </c>
      <c r="F20" s="19">
        <v>10</v>
      </c>
      <c r="G20" s="19">
        <v>10</v>
      </c>
      <c r="H20" s="20">
        <f>G20*Parametros!$B$4</f>
        <v>286810</v>
      </c>
      <c r="I20" s="20">
        <f>H20*(1+Parametros!$B$5)</f>
        <v>324095.3</v>
      </c>
      <c r="J20" s="19" t="s">
        <v>110</v>
      </c>
      <c r="K20" s="19" t="s">
        <v>140</v>
      </c>
      <c r="L20" s="20">
        <f>SUMIFS(Facturacion!$I$4:$I$724,Facturacion!$C$4:$C$724,A20)</f>
        <v>0</v>
      </c>
    </row>
    <row r="21" spans="1:12" ht="28.8" x14ac:dyDescent="0.3">
      <c r="A21" s="19" t="s">
        <v>154</v>
      </c>
      <c r="B21" s="19" t="s">
        <v>155</v>
      </c>
      <c r="C21" s="19" t="s">
        <v>156</v>
      </c>
      <c r="D21" s="19" t="s">
        <v>157</v>
      </c>
      <c r="E21" s="19" t="s">
        <v>108</v>
      </c>
      <c r="F21" s="19">
        <v>5</v>
      </c>
      <c r="G21" s="19">
        <v>5</v>
      </c>
      <c r="H21" s="20">
        <f>G21*Parametros!$B$4</f>
        <v>143405</v>
      </c>
      <c r="I21" s="20">
        <f>H21*(1+Parametros!$B$5)</f>
        <v>162047.65</v>
      </c>
      <c r="J21" s="19" t="s">
        <v>110</v>
      </c>
      <c r="K21" s="19" t="s">
        <v>101</v>
      </c>
      <c r="L21" s="20">
        <f>SUMIFS(Facturacion!$I$4:$I$724,Facturacion!$C$4:$C$724,A21)</f>
        <v>0</v>
      </c>
    </row>
    <row r="22" spans="1:12" ht="28.8" x14ac:dyDescent="0.3">
      <c r="A22" s="19" t="s">
        <v>158</v>
      </c>
      <c r="B22" s="19" t="s">
        <v>159</v>
      </c>
      <c r="C22" s="19" t="s">
        <v>160</v>
      </c>
      <c r="D22" s="19" t="s">
        <v>157</v>
      </c>
      <c r="E22" s="19" t="s">
        <v>108</v>
      </c>
      <c r="F22" s="19">
        <v>5</v>
      </c>
      <c r="G22" s="19">
        <v>5</v>
      </c>
      <c r="H22" s="20">
        <f>G22*Parametros!$B$4</f>
        <v>143405</v>
      </c>
      <c r="I22" s="20">
        <f>H22*(1+Parametros!$B$5)</f>
        <v>162047.65</v>
      </c>
      <c r="J22" s="19" t="s">
        <v>110</v>
      </c>
      <c r="K22" s="19" t="s">
        <v>101</v>
      </c>
      <c r="L22" s="20">
        <f>SUMIFS(Facturacion!$I$4:$I$724,Facturacion!$C$4:$C$724,A22)</f>
        <v>0</v>
      </c>
    </row>
    <row r="23" spans="1:12" x14ac:dyDescent="0.3">
      <c r="A23" s="19" t="s">
        <v>76</v>
      </c>
      <c r="B23" s="19" t="s">
        <v>161</v>
      </c>
      <c r="C23" s="19" t="s">
        <v>162</v>
      </c>
      <c r="D23" s="19" t="s">
        <v>157</v>
      </c>
      <c r="E23" s="19" t="s">
        <v>108</v>
      </c>
      <c r="F23" s="19">
        <v>5</v>
      </c>
      <c r="G23" s="19">
        <v>5</v>
      </c>
      <c r="H23" s="20">
        <f>G23*Parametros!$B$4</f>
        <v>143405</v>
      </c>
      <c r="I23" s="20">
        <f>H23*(1+Parametros!$B$5)</f>
        <v>162047.65</v>
      </c>
      <c r="J23" s="19" t="s">
        <v>110</v>
      </c>
      <c r="K23" s="19" t="s">
        <v>101</v>
      </c>
      <c r="L23" s="20">
        <f>SUMIFS(Facturacion!$I$4:$I$724,Facturacion!$C$4:$C$724,A23)</f>
        <v>150575</v>
      </c>
    </row>
    <row r="24" spans="1:12" x14ac:dyDescent="0.3">
      <c r="A24" s="19" t="s">
        <v>73</v>
      </c>
      <c r="B24" s="19" t="s">
        <v>163</v>
      </c>
      <c r="C24" s="19" t="s">
        <v>164</v>
      </c>
      <c r="D24" s="19" t="s">
        <v>136</v>
      </c>
      <c r="E24" s="19" t="s">
        <v>108</v>
      </c>
      <c r="F24" s="19">
        <v>3</v>
      </c>
      <c r="G24" s="19">
        <v>3</v>
      </c>
      <c r="H24" s="20">
        <f>G24*Parametros!$B$4</f>
        <v>86043</v>
      </c>
      <c r="I24" s="20">
        <f>H24*(1+Parametros!$B$5)</f>
        <v>97228.59</v>
      </c>
      <c r="J24" s="19" t="s">
        <v>110</v>
      </c>
      <c r="K24" s="19" t="s">
        <v>101</v>
      </c>
      <c r="L24" s="20">
        <f>SUMIFS(Facturacion!$I$4:$I$724,Facturacion!$C$4:$C$724,A24)</f>
        <v>184992</v>
      </c>
    </row>
    <row r="26" spans="1:12" x14ac:dyDescent="0.3">
      <c r="A26" s="21" t="s">
        <v>165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9"/>
  <sheetViews>
    <sheetView zoomScaleNormal="100" workbookViewId="0"/>
  </sheetViews>
  <sheetFormatPr baseColWidth="10" defaultColWidth="8.6640625" defaultRowHeight="14.4" x14ac:dyDescent="0.3"/>
  <cols>
    <col min="1" max="1" width="48" customWidth="1"/>
    <col min="2" max="2" width="14" customWidth="1"/>
    <col min="3" max="3" width="95" customWidth="1"/>
  </cols>
  <sheetData>
    <row r="1" spans="1:3" ht="16.8" x14ac:dyDescent="0.3">
      <c r="A1" s="1" t="s">
        <v>166</v>
      </c>
    </row>
    <row r="3" spans="1:3" x14ac:dyDescent="0.3">
      <c r="A3" s="2" t="s">
        <v>167</v>
      </c>
      <c r="B3" s="2" t="s">
        <v>168</v>
      </c>
      <c r="C3" s="2" t="s">
        <v>169</v>
      </c>
    </row>
    <row r="4" spans="1:3" ht="28.8" x14ac:dyDescent="0.3">
      <c r="A4" s="19" t="s">
        <v>170</v>
      </c>
      <c r="B4" s="22">
        <v>28681</v>
      </c>
      <c r="C4" s="19" t="s">
        <v>171</v>
      </c>
    </row>
    <row r="5" spans="1:3" x14ac:dyDescent="0.3">
      <c r="A5" s="19" t="s">
        <v>172</v>
      </c>
      <c r="B5" s="23">
        <v>0.13</v>
      </c>
      <c r="C5" s="19" t="s">
        <v>173</v>
      </c>
    </row>
    <row r="6" spans="1:3" x14ac:dyDescent="0.3">
      <c r="A6" s="19" t="s">
        <v>174</v>
      </c>
      <c r="B6" s="24">
        <v>22695.71</v>
      </c>
      <c r="C6" s="19" t="s">
        <v>175</v>
      </c>
    </row>
    <row r="7" spans="1:3" x14ac:dyDescent="0.3">
      <c r="A7" s="19" t="s">
        <v>176</v>
      </c>
      <c r="B7" s="19" t="s">
        <v>177</v>
      </c>
      <c r="C7" s="19" t="s">
        <v>178</v>
      </c>
    </row>
    <row r="9" spans="1:3" x14ac:dyDescent="0.3">
      <c r="A9" s="21" t="s">
        <v>179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F15"/>
  <sheetViews>
    <sheetView zoomScaleNormal="100" workbookViewId="0"/>
  </sheetViews>
  <sheetFormatPr baseColWidth="10" defaultColWidth="8.6640625" defaultRowHeight="14.4" x14ac:dyDescent="0.3"/>
  <cols>
    <col min="1" max="1" width="9" customWidth="1"/>
    <col min="2" max="3" width="34" customWidth="1"/>
    <col min="4" max="4" width="58" customWidth="1"/>
    <col min="5" max="6" width="16" customWidth="1"/>
  </cols>
  <sheetData>
    <row r="1" spans="1:6" ht="16.8" x14ac:dyDescent="0.3">
      <c r="A1" s="1" t="s">
        <v>180</v>
      </c>
    </row>
    <row r="3" spans="1:6" ht="31.5" customHeight="1" x14ac:dyDescent="0.3">
      <c r="A3" s="2" t="s">
        <v>181</v>
      </c>
      <c r="B3" s="2" t="s">
        <v>58</v>
      </c>
      <c r="C3" s="2" t="s">
        <v>182</v>
      </c>
      <c r="D3" s="2" t="s">
        <v>183</v>
      </c>
      <c r="E3" s="2" t="s">
        <v>184</v>
      </c>
      <c r="F3" s="2" t="s">
        <v>185</v>
      </c>
    </row>
    <row r="4" spans="1:6" x14ac:dyDescent="0.3">
      <c r="A4" s="6" t="s">
        <v>29</v>
      </c>
      <c r="B4" s="6" t="s">
        <v>41</v>
      </c>
      <c r="C4" s="6" t="s">
        <v>186</v>
      </c>
      <c r="D4" s="6" t="s">
        <v>187</v>
      </c>
      <c r="E4" s="7">
        <v>1</v>
      </c>
      <c r="F4" s="4">
        <v>45200</v>
      </c>
    </row>
    <row r="5" spans="1:6" x14ac:dyDescent="0.3">
      <c r="A5" s="6" t="s">
        <v>30</v>
      </c>
      <c r="B5" s="6" t="s">
        <v>42</v>
      </c>
      <c r="C5" s="6" t="s">
        <v>186</v>
      </c>
      <c r="D5" s="6" t="s">
        <v>188</v>
      </c>
      <c r="E5" s="7">
        <v>1</v>
      </c>
      <c r="F5" s="4">
        <v>45200</v>
      </c>
    </row>
    <row r="6" spans="1:6" x14ac:dyDescent="0.3">
      <c r="A6" s="6" t="s">
        <v>31</v>
      </c>
      <c r="B6" s="6" t="s">
        <v>43</v>
      </c>
      <c r="C6" s="6" t="s">
        <v>189</v>
      </c>
      <c r="D6" s="6" t="s">
        <v>190</v>
      </c>
      <c r="E6" s="7">
        <v>1.1000000000000001</v>
      </c>
      <c r="F6" s="4">
        <v>45200</v>
      </c>
    </row>
    <row r="7" spans="1:6" x14ac:dyDescent="0.3">
      <c r="A7" s="6" t="s">
        <v>32</v>
      </c>
      <c r="B7" s="6" t="s">
        <v>44</v>
      </c>
      <c r="C7" s="6" t="s">
        <v>189</v>
      </c>
      <c r="D7" s="6" t="s">
        <v>190</v>
      </c>
      <c r="E7" s="7">
        <v>1</v>
      </c>
      <c r="F7" s="4">
        <v>45200</v>
      </c>
    </row>
    <row r="8" spans="1:6" x14ac:dyDescent="0.3">
      <c r="A8" s="6" t="s">
        <v>33</v>
      </c>
      <c r="B8" s="6" t="s">
        <v>45</v>
      </c>
      <c r="C8" s="6" t="s">
        <v>186</v>
      </c>
      <c r="D8" s="6" t="s">
        <v>191</v>
      </c>
      <c r="E8" s="7">
        <v>1</v>
      </c>
      <c r="F8" s="4">
        <v>45200</v>
      </c>
    </row>
    <row r="9" spans="1:6" x14ac:dyDescent="0.3">
      <c r="A9" s="6" t="s">
        <v>34</v>
      </c>
      <c r="B9" s="6" t="s">
        <v>46</v>
      </c>
      <c r="C9" s="6" t="s">
        <v>189</v>
      </c>
      <c r="D9" s="6" t="s">
        <v>192</v>
      </c>
      <c r="E9" s="7">
        <v>1.1499999999999999</v>
      </c>
      <c r="F9" s="4">
        <v>45200</v>
      </c>
    </row>
    <row r="10" spans="1:6" x14ac:dyDescent="0.3">
      <c r="A10" s="6" t="s">
        <v>35</v>
      </c>
      <c r="B10" s="6" t="s">
        <v>47</v>
      </c>
      <c r="C10" s="6" t="s">
        <v>186</v>
      </c>
      <c r="D10" s="6" t="s">
        <v>190</v>
      </c>
      <c r="E10" s="7">
        <v>1</v>
      </c>
      <c r="F10" s="4">
        <v>45200</v>
      </c>
    </row>
    <row r="11" spans="1:6" x14ac:dyDescent="0.3">
      <c r="A11" s="6" t="s">
        <v>36</v>
      </c>
      <c r="B11" s="6" t="s">
        <v>48</v>
      </c>
      <c r="C11" s="6" t="s">
        <v>186</v>
      </c>
      <c r="D11" s="6" t="s">
        <v>193</v>
      </c>
      <c r="E11" s="7">
        <v>1</v>
      </c>
      <c r="F11" s="4">
        <v>45200</v>
      </c>
    </row>
    <row r="12" spans="1:6" x14ac:dyDescent="0.3">
      <c r="A12" s="6" t="s">
        <v>37</v>
      </c>
      <c r="B12" s="6" t="s">
        <v>49</v>
      </c>
      <c r="C12" s="6" t="s">
        <v>189</v>
      </c>
      <c r="D12" s="6" t="s">
        <v>192</v>
      </c>
      <c r="E12" s="7">
        <v>1.1000000000000001</v>
      </c>
      <c r="F12" s="4">
        <v>45200</v>
      </c>
    </row>
    <row r="13" spans="1:6" x14ac:dyDescent="0.3">
      <c r="A13" s="6" t="s">
        <v>38</v>
      </c>
      <c r="B13" s="6" t="s">
        <v>50</v>
      </c>
      <c r="C13" s="6" t="s">
        <v>186</v>
      </c>
      <c r="D13" s="6" t="s">
        <v>194</v>
      </c>
      <c r="E13" s="7">
        <v>1</v>
      </c>
      <c r="F13" s="4">
        <v>45200</v>
      </c>
    </row>
    <row r="14" spans="1:6" x14ac:dyDescent="0.3">
      <c r="A14" s="6" t="s">
        <v>39</v>
      </c>
      <c r="B14" s="6" t="s">
        <v>51</v>
      </c>
      <c r="C14" s="6" t="s">
        <v>186</v>
      </c>
      <c r="D14" s="6" t="s">
        <v>195</v>
      </c>
      <c r="E14" s="7">
        <v>1</v>
      </c>
      <c r="F14" s="4">
        <v>45323</v>
      </c>
    </row>
    <row r="15" spans="1:6" x14ac:dyDescent="0.3">
      <c r="A15" s="6" t="s">
        <v>40</v>
      </c>
      <c r="B15" s="6" t="s">
        <v>52</v>
      </c>
      <c r="C15" s="6" t="s">
        <v>189</v>
      </c>
      <c r="D15" s="6" t="s">
        <v>192</v>
      </c>
      <c r="E15" s="7">
        <v>1.05</v>
      </c>
      <c r="F15" s="4">
        <v>45505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18"/>
  <sheetViews>
    <sheetView zoomScaleNormal="100" workbookViewId="0"/>
  </sheetViews>
  <sheetFormatPr baseColWidth="10" defaultColWidth="8.6640625" defaultRowHeight="14.4" x14ac:dyDescent="0.3"/>
  <cols>
    <col min="1" max="1" width="170" customWidth="1"/>
  </cols>
  <sheetData>
    <row r="1" spans="1:1" ht="16.8" x14ac:dyDescent="0.3">
      <c r="A1" s="1" t="s">
        <v>196</v>
      </c>
    </row>
    <row r="3" spans="1:1" x14ac:dyDescent="0.3">
      <c r="A3" s="3" t="s">
        <v>197</v>
      </c>
    </row>
    <row r="4" spans="1:1" x14ac:dyDescent="0.3">
      <c r="A4" t="s">
        <v>198</v>
      </c>
    </row>
    <row r="5" spans="1:1" x14ac:dyDescent="0.3">
      <c r="A5" t="s">
        <v>199</v>
      </c>
    </row>
    <row r="6" spans="1:1" x14ac:dyDescent="0.3">
      <c r="A6" t="s">
        <v>200</v>
      </c>
    </row>
    <row r="7" spans="1:1" x14ac:dyDescent="0.3">
      <c r="A7" t="s">
        <v>201</v>
      </c>
    </row>
    <row r="8" spans="1:1" x14ac:dyDescent="0.3">
      <c r="A8" t="s">
        <v>202</v>
      </c>
    </row>
    <row r="9" spans="1:1" x14ac:dyDescent="0.3">
      <c r="A9" t="s">
        <v>203</v>
      </c>
    </row>
    <row r="10" spans="1:1" x14ac:dyDescent="0.3">
      <c r="A10" t="s">
        <v>204</v>
      </c>
    </row>
    <row r="11" spans="1:1" x14ac:dyDescent="0.3">
      <c r="A11" t="s">
        <v>205</v>
      </c>
    </row>
    <row r="12" spans="1:1" x14ac:dyDescent="0.3">
      <c r="A12" t="s">
        <v>206</v>
      </c>
    </row>
    <row r="14" spans="1:1" x14ac:dyDescent="0.3">
      <c r="A14" s="3" t="s">
        <v>207</v>
      </c>
    </row>
    <row r="15" spans="1:1" x14ac:dyDescent="0.3">
      <c r="A15" t="s">
        <v>208</v>
      </c>
    </row>
    <row r="16" spans="1:1" x14ac:dyDescent="0.3">
      <c r="A16" t="s">
        <v>209</v>
      </c>
    </row>
    <row r="17" spans="1:1" x14ac:dyDescent="0.3">
      <c r="A17" t="s">
        <v>210</v>
      </c>
    </row>
    <row r="18" spans="1:1" x14ac:dyDescent="0.3">
      <c r="A18" t="s">
        <v>211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Datos_Pronostico</vt:lpstr>
      <vt:lpstr>ImportarDatosTrimestrales</vt:lpstr>
      <vt:lpstr>Ingresos_Mensuales</vt:lpstr>
      <vt:lpstr>Detalle_Clientes</vt:lpstr>
      <vt:lpstr>Facturacion</vt:lpstr>
      <vt:lpstr>Declaraciones</vt:lpstr>
      <vt:lpstr>Catalogo_Servicios</vt:lpstr>
      <vt:lpstr>Parametros</vt:lpstr>
      <vt:lpstr>Clientes</vt:lpstr>
      <vt:lpstr>Supuestos_Fuentes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GERALD DAVID VINDAS RAMIREZ</cp:lastModifiedBy>
  <dcterms:created xsi:type="dcterms:W3CDTF">2026-10-15T21:31:47Z</dcterms:created>
  <dcterms:modified xsi:type="dcterms:W3CDTF">2026-10-15T22:00:59Z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2026-10-15T06:00:04Z</dcterms:created>
  <dc:creator>openpyxl</dc:creator>
  <dc:description/>
  <dc:language>en-US</dc:language>
  <cp:lastModifiedBy/>
  <dcterms:modified xsi:type="dcterms:W3CDTF">2026-10-15T06:00:04Z</dcterms:modified>
  <cp:revision>0</cp:revision>
  <dc:subject/>
  <dc:title/>
</cp:coreProperties>
</file>