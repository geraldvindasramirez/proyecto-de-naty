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os_Pronostico" sheetId="1" state="visible" r:id="rId3"/>
    <sheet name="Ingresos_Mensuales" sheetId="2" state="visible" r:id="rId4"/>
    <sheet name="Detalle_Clientes" sheetId="3" state="visible" r:id="rId5"/>
    <sheet name="Facturacion" sheetId="4" state="visible" r:id="rId6"/>
    <sheet name="Declaraciones" sheetId="5" state="visible" r:id="rId7"/>
    <sheet name="Catalogo_Servicios" sheetId="6" state="visible" r:id="rId8"/>
    <sheet name="Parametros" sheetId="7" state="visible" r:id="rId9"/>
    <sheet name="Clientes" sheetId="8" state="visible" r:id="rId10"/>
    <sheet name="Supuestos_Fuentes" sheetId="9" state="visible" r:id="rId11"/>
  </sheets>
  <definedNames>
    <definedName function="false" hidden="true" localSheetId="3" name="_xlnm._FilterDatabase" vbProcedure="false">Facturacion!$A$3:$I$724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<sst xmlns="http://schemas.openxmlformats.org/spreadsheetml/2006/main" count="1796" uniqueCount="212">
  <si>
    <t xml:space="preserve">ContaFacil - Ingresos mensuales por honorarios (datos FICTICIOS para pruebas)</t>
  </si>
  <si>
    <t xml:space="preserve">Periodo</t>
  </si>
  <si>
    <t xml:space="preserve">Ingresos (₡)</t>
  </si>
  <si>
    <t xml:space="preserve">Nota:</t>
  </si>
  <si>
    <t xml:space="preserve">Esta es la hoja que se importa/pega en la herramienta (A = periodo, B = valor). Montos sin IVA.</t>
  </si>
  <si>
    <t xml:space="preserve">Los ingresos salen de la facturación detallada (horas x tarifa del catálogo CCPA). Ver hoja Supuestos_Fuentes.</t>
  </si>
  <si>
    <t xml:space="preserve">Resumen mensual: ingresos, clientes activos, declaraciones y horas facturadas</t>
  </si>
  <si>
    <t xml:space="preserve">Año</t>
  </si>
  <si>
    <t xml:space="preserve">Mes</t>
  </si>
  <si>
    <t xml:space="preserve">Ingresos totales (₡)</t>
  </si>
  <si>
    <t xml:space="preserve">Clientes activos</t>
  </si>
  <si>
    <t xml:space="preserve">Declaraciones presentadas</t>
  </si>
  <si>
    <t xml:space="preserve">Horas facturadas</t>
  </si>
  <si>
    <t xml:space="preserve">Ingreso Cliente C01 (₡)</t>
  </si>
  <si>
    <t xml:space="preserve">% C01 sobre total</t>
  </si>
  <si>
    <t xml:space="preserve">Octubre</t>
  </si>
  <si>
    <t xml:space="preserve">Noviembre</t>
  </si>
  <si>
    <t xml:space="preserve">Diciembre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</si>
  <si>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</si>
  <si>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</si>
  <si>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</si>
  <si>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</si>
  <si>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</si>
  <si>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</si>
  <si>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</si>
  <si>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</si>
  <si>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</si>
  <si>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Ingresos por cliente y mes (₡, sin IVA) - calculados desde la hoja Facturacion</t>
  </si>
  <si>
    <t xml:space="preserve">Cód.</t>
  </si>
  <si>
    <t xml:space="preserve">C01</t>
  </si>
  <si>
    <t xml:space="preserve">C02</t>
  </si>
  <si>
    <t xml:space="preserve">C03</t>
  </si>
  <si>
    <t xml:space="preserve">C04</t>
  </si>
  <si>
    <t xml:space="preserve">C05</t>
  </si>
  <si>
    <t xml:space="preserve">C06</t>
  </si>
  <si>
    <t xml:space="preserve">C07</t>
  </si>
  <si>
    <t xml:space="preserve">C08</t>
  </si>
  <si>
    <t xml:space="preserve">C09</t>
  </si>
  <si>
    <t xml:space="preserve">C10</t>
  </si>
  <si>
    <t xml:space="preserve">C11</t>
  </si>
  <si>
    <t xml:space="preserve">C12</t>
  </si>
  <si>
    <t xml:space="preserve">Distribuidora Los Andes S.A.</t>
  </si>
  <si>
    <t xml:space="preserve">Ferretería El Tornillo</t>
  </si>
  <si>
    <t xml:space="preserve">Clínica Dental Sonrisa</t>
  </si>
  <si>
    <t xml:space="preserve">Soda y Restaurante Doña Lela</t>
  </si>
  <si>
    <t xml:space="preserve">Transportes Rápidos del Valle</t>
  </si>
  <si>
    <t xml:space="preserve">Boutique Luna Nueva</t>
  </si>
  <si>
    <t xml:space="preserve">Taller Mecánico Hermanos Mora</t>
  </si>
  <si>
    <t xml:space="preserve">Agroservicios Cartago</t>
  </si>
  <si>
    <t xml:space="preserve">Estudio Fotográfico Lumière</t>
  </si>
  <si>
    <t xml:space="preserve">Panadería La Espiga</t>
  </si>
  <si>
    <t xml:space="preserve">Consultores TIC Pura Vida</t>
  </si>
  <si>
    <t xml:space="preserve">Veterinaria Mascotas Felices</t>
  </si>
  <si>
    <t xml:space="preserve">TOTAL</t>
  </si>
  <si>
    <t xml:space="preserve">Facturación detallada: una línea por cliente, servicio y mes</t>
  </si>
  <si>
    <t xml:space="preserve">Monto = horas x tarifa horaria (Parametros) x factor del cliente (Clientes). Las horas son el dato simulado; lo demás son fórmulas.</t>
  </si>
  <si>
    <t xml:space="preserve">Cód. cliente</t>
  </si>
  <si>
    <t xml:space="preserve">Cód. servicio</t>
  </si>
  <si>
    <t xml:space="preserve">Cliente</t>
  </si>
  <si>
    <t xml:space="preserve">Servicio</t>
  </si>
  <si>
    <t xml:space="preserve">Horas</t>
  </si>
  <si>
    <t xml:space="preserve">Tarifa/hora (₡)</t>
  </si>
  <si>
    <t xml:space="preserve">Factor cliente</t>
  </si>
  <si>
    <t xml:space="preserve">Monto (₡)</t>
  </si>
  <si>
    <t xml:space="preserve">S02</t>
  </si>
  <si>
    <t xml:space="preserve">S03</t>
  </si>
  <si>
    <t xml:space="preserve">S04</t>
  </si>
  <si>
    <t xml:space="preserve">S05</t>
  </si>
  <si>
    <t xml:space="preserve">S01</t>
  </si>
  <si>
    <t xml:space="preserve">S06</t>
  </si>
  <si>
    <t xml:space="preserve">S07</t>
  </si>
  <si>
    <t xml:space="preserve">S14</t>
  </si>
  <si>
    <t xml:space="preserve">S13</t>
  </si>
  <si>
    <t xml:space="preserve">S16</t>
  </si>
  <si>
    <t xml:space="preserve">S08</t>
  </si>
  <si>
    <t xml:space="preserve">S09</t>
  </si>
  <si>
    <t xml:space="preserve">S11</t>
  </si>
  <si>
    <t xml:space="preserve">Declaraciones presentadas por tipo y mes (conteo desde Facturacion)</t>
  </si>
  <si>
    <t xml:space="preserve">IVA (D-104)</t>
  </si>
  <si>
    <t xml:space="preserve">Retenciones (D-103)</t>
  </si>
  <si>
    <t xml:space="preserve">Renta (D-101/D-105)</t>
  </si>
  <si>
    <t xml:space="preserve">Planillas CCSS/INS</t>
  </si>
  <si>
    <t xml:space="preserve">Informativas (D-151)</t>
  </si>
  <si>
    <t xml:space="preserve">Catálogo de servicios según el tarifario de honorarios mínimos del Colegio de Contadores Públicos de Costa Rica (CCPA)</t>
  </si>
  <si>
    <t xml:space="preserve">Categorías I a VI del tarifario. Honorarios estándar = horas estándar x tarifa horaria de la hoja Parametros.</t>
  </si>
  <si>
    <t xml:space="preserve">Cat. CCPA</t>
  </si>
  <si>
    <t xml:space="preserve">Base de cobro CCPA</t>
  </si>
  <si>
    <t xml:space="preserve">Frecuencia</t>
  </si>
  <si>
    <t xml:space="preserve">Horas mínimas CCPA</t>
  </si>
  <si>
    <t xml:space="preserve">Horas estándar usadas</t>
  </si>
  <si>
    <t xml:space="preserve">Honorario estándar (₡ sin IVA)</t>
  </si>
  <si>
    <t xml:space="preserve">Honorario con IVA (₡)</t>
  </si>
  <si>
    <t xml:space="preserve">¿Lo presta ContaFacil?</t>
  </si>
  <si>
    <t xml:space="preserve">Origen de las horas</t>
  </si>
  <si>
    <t xml:space="preserve">Facturado en 36 meses (₡)</t>
  </si>
  <si>
    <t xml:space="preserve">N01</t>
  </si>
  <si>
    <t xml:space="preserve">I</t>
  </si>
  <si>
    <t xml:space="preserve">Auditoría de estados financieros - entidad privada no regulada</t>
  </si>
  <si>
    <t xml:space="preserve">Tarifa horaria; opinión anual mínimo 80 horas</t>
  </si>
  <si>
    <t xml:space="preserve">Anual</t>
  </si>
  <si>
    <t xml:space="preserve">No</t>
  </si>
  <si>
    <t xml:space="preserve">CCPA (mínimo oficial)</t>
  </si>
  <si>
    <t xml:space="preserve">N02</t>
  </si>
  <si>
    <t xml:space="preserve">Auditoría de estados financieros - entidad pública o regulada</t>
  </si>
  <si>
    <t xml:space="preserve">Tarifa horaria; opinión anual mínimo 100 horas</t>
  </si>
  <si>
    <t xml:space="preserve">II</t>
  </si>
  <si>
    <t xml:space="preserve">Asesoría contable, financiera y tributaria</t>
  </si>
  <si>
    <t xml:space="preserve">Tarifa horaria, sin mínimo de horas</t>
  </si>
  <si>
    <t xml:space="preserve">Eventual</t>
  </si>
  <si>
    <t xml:space="preserve">sin mínimo</t>
  </si>
  <si>
    <t xml:space="preserve">Sí</t>
  </si>
  <si>
    <t xml:space="preserve">CCPA (tarifa); 1 h = unidad</t>
  </si>
  <si>
    <t xml:space="preserve">Estados financieros mensuales</t>
  </si>
  <si>
    <t xml:space="preserve">Tarifa horaria sin mínimo; referencia de 3 horas/mes para pymes</t>
  </si>
  <si>
    <t xml:space="preserve">Mensual</t>
  </si>
  <si>
    <t xml:space="preserve">Fuente secundaria (3 h/mes)</t>
  </si>
  <si>
    <t xml:space="preserve">Declaración mensual de IVA (D-104)</t>
  </si>
  <si>
    <t xml:space="preserve">Tarifa horaria sin mínimo</t>
  </si>
  <si>
    <t xml:space="preserve">Supuesto del equipo</t>
  </si>
  <si>
    <t xml:space="preserve">Declaración mensual de retenciones (D-103)</t>
  </si>
  <si>
    <t xml:space="preserve">Supuesto del equipo (S03+S04 = 1 h)</t>
  </si>
  <si>
    <t xml:space="preserve">Cálculo de planillas y cargas sociales (CCSS/INS)</t>
  </si>
  <si>
    <t xml:space="preserve">Tarifa horaria sin mínimo; base 3 h + 0,5 h por empleado</t>
  </si>
  <si>
    <t xml:space="preserve">Fuente secundaria (3 h base); 0,5 h/empleado es supuesto</t>
  </si>
  <si>
    <t xml:space="preserve">Declaración anual de renta (D-101 / D-105)</t>
  </si>
  <si>
    <t xml:space="preserve">Estados financieros anuales / cierre fiscal</t>
  </si>
  <si>
    <t xml:space="preserve">Tarifa horaria sin mínimo; referencia de 6 horas</t>
  </si>
  <si>
    <t xml:space="preserve">Fuente secundaria (6 h)</t>
  </si>
  <si>
    <t xml:space="preserve">Declaración informativa anual (D-151)</t>
  </si>
  <si>
    <t xml:space="preserve">Conciliación anual de planillas (INS/CCSS)</t>
  </si>
  <si>
    <t xml:space="preserve">N03</t>
  </si>
  <si>
    <t xml:space="preserve">III</t>
  </si>
  <si>
    <t xml:space="preserve">Peritaje extrajudicial y arbitraje</t>
  </si>
  <si>
    <t xml:space="preserve">Tarifa horaria; mínimo 18 horas</t>
  </si>
  <si>
    <t xml:space="preserve">IV.a</t>
  </si>
  <si>
    <t xml:space="preserve">Certificación de ingresos y estudios generales</t>
  </si>
  <si>
    <t xml:space="preserve">Tarifa horaria; mínimo 3 horas</t>
  </si>
  <si>
    <t xml:space="preserve">IV.b</t>
  </si>
  <si>
    <t xml:space="preserve">Certificación para PYME / Régimen simplificado (MEIC)</t>
  </si>
  <si>
    <t xml:space="preserve">5% del ingreso neto mensual promedio; mínimo 3 horas</t>
  </si>
  <si>
    <t xml:space="preserve">CCPA (se usa el mínimo de horas)</t>
  </si>
  <si>
    <t xml:space="preserve">N04</t>
  </si>
  <si>
    <t xml:space="preserve">IV.c</t>
  </si>
  <si>
    <t xml:space="preserve">Certificación para entidades sin fines de lucro</t>
  </si>
  <si>
    <t xml:space="preserve">2,5% del superávit mensual promedio; mínimo 3 horas</t>
  </si>
  <si>
    <t xml:space="preserve">N05</t>
  </si>
  <si>
    <t xml:space="preserve">IV.e</t>
  </si>
  <si>
    <t xml:space="preserve">Certificación de saldo deudor bancario</t>
  </si>
  <si>
    <t xml:space="preserve">Mitad de la tarifa horaria por certificación (mín. 100 al mes)</t>
  </si>
  <si>
    <t xml:space="preserve">CCPA (≈ ¢11 347,86 en 2021)</t>
  </si>
  <si>
    <t xml:space="preserve">S12</t>
  </si>
  <si>
    <t xml:space="preserve">V</t>
  </si>
  <si>
    <t xml:space="preserve">Estudio de pre-factibilidad, factibilidad o flujo de caja</t>
  </si>
  <si>
    <t xml:space="preserve">5% del flujo de caja promedio; mínimo 10 horas</t>
  </si>
  <si>
    <t xml:space="preserve">S15</t>
  </si>
  <si>
    <t xml:space="preserve">VI.a</t>
  </si>
  <si>
    <t xml:space="preserve">Certificación de estados financieros (consistencia con registros)</t>
  </si>
  <si>
    <t xml:space="preserve">Tarifa horaria; mínimo 5 horas</t>
  </si>
  <si>
    <t xml:space="preserve">S10</t>
  </si>
  <si>
    <t xml:space="preserve">VI.b</t>
  </si>
  <si>
    <t xml:space="preserve">Certificación de hechos específicos (solvencia, capital, pasivos)</t>
  </si>
  <si>
    <t xml:space="preserve">VI.c</t>
  </si>
  <si>
    <t xml:space="preserve">Estudio especial (control interno, análisis financiero)</t>
  </si>
  <si>
    <t xml:space="preserve">VI.d</t>
  </si>
  <si>
    <t xml:space="preserve">Otros trabajos profesionales no contemplados</t>
  </si>
  <si>
    <t xml:space="preserve">Gris = servicios del tarifario que ContaFacil no presta (auditoría, peritajes, certificaciones bancarias, etc.). Se incluyen para que el catálogo refleje el tarifario completo.</t>
  </si>
  <si>
    <t xml:space="preserve">Parámetros del cálculo de honorarios</t>
  </si>
  <si>
    <t xml:space="preserve">Parámetro</t>
  </si>
  <si>
    <t xml:space="preserve">Valor</t>
  </si>
  <si>
    <t xml:space="preserve">Fuente / nota</t>
  </si>
  <si>
    <t xml:space="preserve">Tarifa horaria mínima usada (₡, sin IVA)</t>
  </si>
  <si>
    <t xml:space="preserve">Fuente secundaria (Consultores Jiménez, tarifas 2026) la cita como tarifa mínima del CCPA vigente desde dic-2022. VERIFICAR en ccpa.or.cr antes de entregar.</t>
  </si>
  <si>
    <t xml:space="preserve">IVA</t>
  </si>
  <si>
    <t xml:space="preserve">Tasa general de IVA en Costa Rica. Los ingresos del pronóstico se miden SIN IVA.</t>
  </si>
  <si>
    <t xml:space="preserve">Tarifa horaria en el PDF oficial THPMCPA-14-2021 (₡)</t>
  </si>
  <si>
    <t xml:space="preserve">PDF del CCPA publicado en La Gaceta N° 188 (30-sep-2021). Solo referencia.</t>
  </si>
  <si>
    <t xml:space="preserve">Vigencia de la tarifa usada</t>
  </si>
  <si>
    <t xml:space="preserve">dic-2022</t>
  </si>
  <si>
    <t xml:space="preserve">Según la misma fuente secundaria; el CCPA actualiza la tarifa por acuerdo.</t>
  </si>
  <si>
    <t xml:space="preserve">Para cambiar la tarifa, edite la celda B4: todos los montos de Facturacion, Detalle_Clientes e Ingresos se recalculan.</t>
  </si>
  <si>
    <t xml:space="preserve">Catálogo de clientes (ficticios)</t>
  </si>
  <si>
    <t xml:space="preserve">Código</t>
  </si>
  <si>
    <t xml:space="preserve">Tipo de contribuyente</t>
  </si>
  <si>
    <t xml:space="preserve">Servicios contratados</t>
  </si>
  <si>
    <t xml:space="preserve">Factor sobre tarifa mínima</t>
  </si>
  <si>
    <t xml:space="preserve">Inicio de la relación</t>
  </si>
  <si>
    <t xml:space="preserve">Persona jurídica</t>
  </si>
  <si>
    <t xml:space="preserve">Contabilidad + IVA + retenciones + planilla (volumen alto)</t>
  </si>
  <si>
    <t xml:space="preserve">Estados financieros mensuales + IVA + retenciones</t>
  </si>
  <si>
    <t xml:space="preserve">Persona física con act. lucrativa</t>
  </si>
  <si>
    <t xml:space="preserve">IVA + renta</t>
  </si>
  <si>
    <t xml:space="preserve">IVA + retenciones + planilla pequeña</t>
  </si>
  <si>
    <t xml:space="preserve">Régimen simplificado: renta + certificaciones</t>
  </si>
  <si>
    <t xml:space="preserve">IVA + retenciones + renta</t>
  </si>
  <si>
    <t xml:space="preserve">IVA + planilla pequeña</t>
  </si>
  <si>
    <t xml:space="preserve">Contabilidad básica + renta + certificaciones</t>
  </si>
  <si>
    <t xml:space="preserve">Supuestos y fuentes</t>
  </si>
  <si>
    <t xml:space="preserve">DATOS FICTICIOS: ContaFacil no puede entregar su historial por confidencialidad. Los ingresos se simularon con las reglas de abajo.</t>
  </si>
  <si>
    <t xml:space="preserve">- 36 meses (oct-2023 a sep-2026), 12 clientes con nombres inventados. Ingresos totales entre ~₡1,3 M y ~₡2,0 M por mes, sin IVA.</t>
  </si>
  <si>
    <t xml:space="preserve">- Cada ingreso = horas x tarifa horaria mínima del CCPA x factor del cliente (1,00 a 1,15). Hay una línea por cliente, servicio y mes en la hoja Facturacion.</t>
  </si>
  <si>
    <t xml:space="preserve">- Cliente C01 (el mayor): contabilidad, IVA, retenciones y planilla. La planilla varía con el número de empleados (3 h base + 0,5 h por empleado), por eso su pago es variable (≈ ₡0,67 M a ₡1,15 M, con tope de ₡1,2 M).</t>
  </si>
  <si>
    <t xml:space="preserve">- Estacionalidad: picos en diciembre y marzo (declaración anual de renta y cierres), actividad extra en enero (planillas anuales) y febrero (informativas); valle en mitad de año.</t>
  </si>
  <si>
    <t xml:space="preserve">- Tendencia creciente por entrada de dos clientes (C11 en feb-2024, C12 en ago-2024), más empleados en C01 y un pequeño aumento de horas por cliente.</t>
  </si>
  <si>
    <t xml:space="preserve">- Servicios eventuales (certificaciones, asesorías, estudios) aparecen al azar y agregan ruido.</t>
  </si>
  <si>
    <t xml:space="preserve">- Declaraciones: unas 15 al mes en promedio (IVA, retenciones, planillas) más las anuales en sus meses.</t>
  </si>
  <si>
    <t xml:space="preserve">- Las horas estándar marcadas 'Supuesto del equipo' en el catálogo NO provienen del CCPA; justifíquenlas con el gerente en la entrevista.</t>
  </si>
  <si>
    <t xml:space="preserve">- Fechas de renta supuestas: período ordinario con presentación en diciembre; período especial con presentación en marzo. Verificar con el calendario de Hacienda.</t>
  </si>
  <si>
    <t xml:space="preserve">FUENTES</t>
  </si>
  <si>
    <t xml:space="preserve">- CCPA. Tarifas de Honorarios Profesionales Mínimos de los CPA (THPMCPA-14-2021): https://ccpa.or.cr/wp-content/themes/maximus/pdf/fiscalia/Tarifas%20de%20Honorarios%20Profesionales%20M%C3%ADnimos%20de%20los%20CPA.pdf</t>
  </si>
  <si>
    <t xml:space="preserve">- CCPA. Tarifas obligatorias (página oficial, verificar tarifa vigente): https://ccpa.or.cr/tarifas-por-servicios-profesionales/</t>
  </si>
  <si>
    <t xml:space="preserve">- Consultores Jiménez. ¿Cuánto cobra un contador en Costa Rica? Tarifas de referencia 2026 (tarifa horaria ₡28 681 y referencias de 3 h y 6 h): https://consultoresjimenez.com/cuanto-cobra-un-contador-en-costa-rica/</t>
  </si>
  <si>
    <t xml:space="preserve">- CRHoy (27-dic-2024). Sala IV publica resolución que mantiene tarifas mínimas para el Colegio de Contadores: https://crhoy.com/nacionales/sala-iv-publica-resolucion-que-mantiene-tarifas-minimas-para-colegio-de-contadores/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</si>
</sst>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mm\-yyyy"/>
    <numFmt numFmtId="166" formatCode="#,##0"/>
    <numFmt numFmtId="167" formatCode="0.00"/>
    <numFmt numFmtId="168" formatCode="0.0%"/>
    <numFmt numFmtId="169" formatCode="General"/>
    <numFmt numFmtId="170" formatCode="0%"/>
    <numFmt numFmtId="171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color rgb="FF888888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sz val="11"/>
      <color rgb="FF888888"/>
      <name val="Cambria"/>
      <family val="0"/>
      <charset val="1"/>
    </font>
    <font>
      <i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1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D3" s="3" t="s">
        <v>3</v>
      </c>
    </row>
    <row r="4" customFormat="false" ht="15" hidden="false" customHeight="false" outlineLevel="0" collapsed="false">
      <c r="A4" s="4" t="n">
        <v>45200</v>
      </c>
      <c r="B4" s="5" t="n">
        <f aca="false">Ingresos_Mensuales!C4</f>
        <v>1328649</v>
      </c>
      <c r="D4" s="6" t="s">
        <v>4</v>
      </c>
    </row>
    <row r="5" customFormat="false" ht="15" hidden="false" customHeight="false" outlineLevel="0" collapsed="false">
      <c r="A5" s="4" t="n">
        <v>45231</v>
      </c>
      <c r="B5" s="5" t="n">
        <f aca="false">Ingresos_Mensuales!C5</f>
        <v>1307139</v>
      </c>
      <c r="D5" s="6" t="s">
        <v>5</v>
      </c>
    </row>
    <row r="6" customFormat="false" ht="15" hidden="false" customHeight="false" outlineLevel="0" collapsed="false">
      <c r="A6" s="4" t="n">
        <v>45261</v>
      </c>
      <c r="B6" s="5" t="n">
        <f aca="false">Ingresos_Mensuales!C6</f>
        <v>1839173</v>
      </c>
    </row>
    <row r="7" customFormat="false" ht="15" hidden="false" customHeight="false" outlineLevel="0" collapsed="false">
      <c r="A7" s="4" t="n">
        <v>45292</v>
      </c>
      <c r="B7" s="5" t="n">
        <f aca="false">Ingresos_Mensuales!C7</f>
        <v>1708672</v>
      </c>
    </row>
    <row r="8" customFormat="false" ht="15" hidden="false" customHeight="false" outlineLevel="0" collapsed="false">
      <c r="A8" s="4" t="n">
        <v>45323</v>
      </c>
      <c r="B8" s="5" t="n">
        <f aca="false">Ingresos_Mensuales!C8</f>
        <v>1523683</v>
      </c>
    </row>
    <row r="9" customFormat="false" ht="15" hidden="false" customHeight="false" outlineLevel="0" collapsed="false">
      <c r="A9" s="4" t="n">
        <v>45352</v>
      </c>
      <c r="B9" s="5" t="n">
        <f aca="false">Ingresos_Mensuales!C9</f>
        <v>1825549</v>
      </c>
    </row>
    <row r="10" customFormat="false" ht="15" hidden="false" customHeight="false" outlineLevel="0" collapsed="false">
      <c r="A10" s="4" t="n">
        <v>45383</v>
      </c>
      <c r="B10" s="5" t="n">
        <f aca="false">Ingresos_Mensuales!C10</f>
        <v>1335820</v>
      </c>
    </row>
    <row r="11" customFormat="false" ht="15" hidden="false" customHeight="false" outlineLevel="0" collapsed="false">
      <c r="A11" s="4" t="n">
        <v>45413</v>
      </c>
      <c r="B11" s="5" t="n">
        <f aca="false">Ingresos_Mensuales!C11</f>
        <v>1489262</v>
      </c>
    </row>
    <row r="12" customFormat="false" ht="15" hidden="false" customHeight="false" outlineLevel="0" collapsed="false">
      <c r="A12" s="4" t="n">
        <v>45444</v>
      </c>
      <c r="B12" s="5" t="n">
        <f aca="false">Ingresos_Mensuales!C12</f>
        <v>1307138</v>
      </c>
    </row>
    <row r="13" customFormat="false" ht="15" hidden="false" customHeight="false" outlineLevel="0" collapsed="false">
      <c r="A13" s="4" t="n">
        <v>45474</v>
      </c>
      <c r="B13" s="5" t="n">
        <f aca="false">Ingresos_Mensuales!C13</f>
        <v>1648442</v>
      </c>
    </row>
    <row r="14" customFormat="false" ht="15" hidden="false" customHeight="false" outlineLevel="0" collapsed="false">
      <c r="A14" s="4" t="n">
        <v>45505</v>
      </c>
      <c r="B14" s="5" t="n">
        <f aca="false">Ingresos_Mensuales!C14</f>
        <v>1342990</v>
      </c>
    </row>
    <row r="15" customFormat="false" ht="15" hidden="false" customHeight="false" outlineLevel="0" collapsed="false">
      <c r="A15" s="4" t="n">
        <v>45536</v>
      </c>
      <c r="B15" s="5" t="n">
        <f aca="false">Ingresos_Mensuales!C15</f>
        <v>1307138</v>
      </c>
    </row>
    <row r="16" customFormat="false" ht="15" hidden="false" customHeight="false" outlineLevel="0" collapsed="false">
      <c r="A16" s="4" t="n">
        <v>45566</v>
      </c>
      <c r="B16" s="5" t="n">
        <f aca="false">Ingresos_Mensuales!C16</f>
        <v>1393182</v>
      </c>
    </row>
    <row r="17" customFormat="false" ht="15" hidden="false" customHeight="false" outlineLevel="0" collapsed="false">
      <c r="A17" s="4" t="n">
        <v>45597</v>
      </c>
      <c r="B17" s="5" t="n">
        <f aca="false">Ingresos_Mensuales!C17</f>
        <v>1386011</v>
      </c>
    </row>
    <row r="18" customFormat="false" ht="15" hidden="false" customHeight="false" outlineLevel="0" collapsed="false">
      <c r="A18" s="4" t="n">
        <v>45627</v>
      </c>
      <c r="B18" s="5" t="n">
        <f aca="false">Ingresos_Mensuales!C18</f>
        <v>1865702</v>
      </c>
    </row>
    <row r="19" customFormat="false" ht="15" hidden="false" customHeight="false" outlineLevel="0" collapsed="false">
      <c r="A19" s="4" t="n">
        <v>45658</v>
      </c>
      <c r="B19" s="5" t="n">
        <f aca="false">Ingresos_Mensuales!C19</f>
        <v>1737354</v>
      </c>
    </row>
    <row r="20" customFormat="false" ht="15" hidden="false" customHeight="false" outlineLevel="0" collapsed="false">
      <c r="A20" s="4" t="n">
        <v>45689</v>
      </c>
      <c r="B20" s="5" t="n">
        <f aca="false">Ingresos_Mensuales!C20</f>
        <v>1596821</v>
      </c>
    </row>
    <row r="21" customFormat="false" ht="15" hidden="false" customHeight="false" outlineLevel="0" collapsed="false">
      <c r="A21" s="4" t="n">
        <v>45717</v>
      </c>
      <c r="B21" s="5" t="n">
        <f aca="false">Ingresos_Mensuales!C21</f>
        <v>1985446</v>
      </c>
    </row>
    <row r="22" customFormat="false" ht="15" hidden="false" customHeight="false" outlineLevel="0" collapsed="false">
      <c r="A22" s="4" t="n">
        <v>45748</v>
      </c>
      <c r="B22" s="5" t="n">
        <f aca="false">Ingresos_Mensuales!C22</f>
        <v>1550926</v>
      </c>
    </row>
    <row r="23" customFormat="false" ht="15" hidden="false" customHeight="false" outlineLevel="0" collapsed="false">
      <c r="A23" s="4" t="n">
        <v>45778</v>
      </c>
      <c r="B23" s="5" t="n">
        <f aca="false">Ingresos_Mensuales!C23</f>
        <v>1400352</v>
      </c>
    </row>
    <row r="24" customFormat="false" ht="15" hidden="false" customHeight="false" outlineLevel="0" collapsed="false">
      <c r="A24" s="4" t="n">
        <v>45809</v>
      </c>
      <c r="B24" s="5" t="n">
        <f aca="false">Ingresos_Mensuales!C24</f>
        <v>1641272</v>
      </c>
    </row>
    <row r="25" customFormat="false" ht="15" hidden="false" customHeight="false" outlineLevel="0" collapsed="false">
      <c r="A25" s="4" t="n">
        <v>45839</v>
      </c>
      <c r="B25" s="5" t="n">
        <f aca="false">Ingresos_Mensuales!C25</f>
        <v>1400352</v>
      </c>
    </row>
    <row r="26" customFormat="false" ht="15" hidden="false" customHeight="false" outlineLevel="0" collapsed="false">
      <c r="A26" s="4" t="n">
        <v>45870</v>
      </c>
      <c r="B26" s="5" t="n">
        <f aca="false">Ingresos_Mensuales!C26</f>
        <v>1542322</v>
      </c>
    </row>
    <row r="27" customFormat="false" ht="15" hidden="false" customHeight="false" outlineLevel="0" collapsed="false">
      <c r="A27" s="4" t="n">
        <v>45901</v>
      </c>
      <c r="B27" s="5" t="n">
        <f aca="false">Ingresos_Mensuales!C27</f>
        <v>1444089</v>
      </c>
    </row>
    <row r="28" customFormat="false" ht="15" hidden="false" customHeight="false" outlineLevel="0" collapsed="false">
      <c r="A28" s="4" t="n">
        <v>45931</v>
      </c>
      <c r="B28" s="5" t="n">
        <f aca="false">Ingresos_Mensuales!C28</f>
        <v>1423296</v>
      </c>
    </row>
    <row r="29" customFormat="false" ht="15" hidden="false" customHeight="false" outlineLevel="0" collapsed="false">
      <c r="A29" s="4" t="n">
        <v>45962</v>
      </c>
      <c r="B29" s="5" t="n">
        <f aca="false">Ingresos_Mensuales!C29</f>
        <v>1458430</v>
      </c>
    </row>
    <row r="30" customFormat="false" ht="15" hidden="false" customHeight="false" outlineLevel="0" collapsed="false">
      <c r="A30" s="4" t="n">
        <v>45992</v>
      </c>
      <c r="B30" s="5" t="n">
        <f aca="false">Ingresos_Mensuales!C30</f>
        <v>1986163</v>
      </c>
    </row>
    <row r="31" customFormat="false" ht="15" hidden="false" customHeight="false" outlineLevel="0" collapsed="false">
      <c r="A31" s="4" t="n">
        <v>46023</v>
      </c>
      <c r="B31" s="5" t="n">
        <f aca="false">Ingresos_Mensuales!C31</f>
        <v>1752410</v>
      </c>
    </row>
    <row r="32" customFormat="false" ht="15" hidden="false" customHeight="false" outlineLevel="0" collapsed="false">
      <c r="A32" s="4" t="n">
        <v>46054</v>
      </c>
      <c r="B32" s="5" t="n">
        <f aca="false">Ingresos_Mensuales!C32</f>
        <v>1690750</v>
      </c>
    </row>
    <row r="33" customFormat="false" ht="15" hidden="false" customHeight="false" outlineLevel="0" collapsed="false">
      <c r="A33" s="4" t="n">
        <v>46082</v>
      </c>
      <c r="B33" s="5" t="n">
        <f aca="false">Ingresos_Mensuales!C33</f>
        <v>1953538</v>
      </c>
    </row>
    <row r="34" customFormat="false" ht="15" hidden="false" customHeight="false" outlineLevel="0" collapsed="false">
      <c r="A34" s="4" t="n">
        <v>46113</v>
      </c>
      <c r="B34" s="5" t="n">
        <f aca="false">Ingresos_Mensuales!C34</f>
        <v>1571719</v>
      </c>
    </row>
    <row r="35" customFormat="false" ht="15" hidden="false" customHeight="false" outlineLevel="0" collapsed="false">
      <c r="A35" s="4" t="n">
        <v>46143</v>
      </c>
      <c r="B35" s="5" t="n">
        <f aca="false">Ingresos_Mensuales!C35</f>
        <v>1436202</v>
      </c>
    </row>
    <row r="36" customFormat="false" ht="15" hidden="false" customHeight="false" outlineLevel="0" collapsed="false">
      <c r="A36" s="4" t="n">
        <v>46174</v>
      </c>
      <c r="B36" s="5" t="n">
        <f aca="false">Ingresos_Mensuales!C36</f>
        <v>1837736</v>
      </c>
    </row>
    <row r="37" customFormat="false" ht="15" hidden="false" customHeight="false" outlineLevel="0" collapsed="false">
      <c r="A37" s="4" t="n">
        <v>46204</v>
      </c>
      <c r="B37" s="5" t="n">
        <f aca="false">Ingresos_Mensuales!C37</f>
        <v>1450543</v>
      </c>
    </row>
    <row r="38" customFormat="false" ht="15" hidden="false" customHeight="false" outlineLevel="0" collapsed="false">
      <c r="A38" s="4" t="n">
        <v>46235</v>
      </c>
      <c r="B38" s="5" t="n">
        <f aca="false">Ingresos_Mensuales!C38</f>
        <v>1528700</v>
      </c>
    </row>
    <row r="39" customFormat="false" ht="15" hidden="false" customHeight="false" outlineLevel="0" collapsed="false">
      <c r="A39" s="4" t="n">
        <v>46266</v>
      </c>
      <c r="B39" s="5" t="n">
        <f aca="false">Ingresos_Mensuales!C39</f>
        <v>1540888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16"/>
  </cols>
  <sheetData>
    <row r="1" customFormat="false" ht="16.15" hidden="false" customHeight="false" outlineLevel="0" collapsed="false">
      <c r="A1" s="1" t="s">
        <v>6</v>
      </c>
    </row>
    <row r="3" customFormat="false" ht="31.5" hidden="false" customHeight="true" outlineLevel="0" collapsed="false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</row>
    <row r="4" customFormat="false" ht="15" hidden="false" customHeight="false" outlineLevel="0" collapsed="false">
      <c r="A4" s="7" t="n">
        <v>2023</v>
      </c>
      <c r="B4" s="7" t="s">
        <v>15</v>
      </c>
      <c r="C4" s="5" t="n">
        <f aca="false">Detalle_Clientes!N4</f>
        <v>1328649</v>
      </c>
      <c r="D4" s="7" t="n">
        <f aca="false">COUNTIF(Detalle_Clientes!B4:M4,"&gt;0")</f>
        <v>8</v>
      </c>
      <c r="E4" s="7" t="n">
        <f aca="false">Declaraciones!G4</f>
        <v>15</v>
      </c>
      <c r="F4" s="8" t="n">
        <f aca="false">SUMIFS(Facturacion!$F$4:$F$724,Facturacion!$A$4:$A$724,Detalle_Clientes!A4)</f>
        <v>46.25</v>
      </c>
      <c r="G4" s="5" t="n">
        <f aca="false">Detalle_Clientes!B4</f>
        <v>688344</v>
      </c>
      <c r="H4" s="9" t="n">
        <f aca="false">G4/C4</f>
        <v>0.518078138018393</v>
      </c>
    </row>
    <row r="5" customFormat="false" ht="15" hidden="false" customHeight="false" outlineLevel="0" collapsed="false">
      <c r="A5" s="7" t="n">
        <v>2023</v>
      </c>
      <c r="B5" s="7" t="s">
        <v>16</v>
      </c>
      <c r="C5" s="5" t="n">
        <f aca="false">Detalle_Clientes!N5</f>
        <v>1307139</v>
      </c>
      <c r="D5" s="7" t="n">
        <f aca="false">COUNTIF(Detalle_Clientes!B5:M5,"&gt;0")</f>
        <v>8</v>
      </c>
      <c r="E5" s="7" t="n">
        <f aca="false">Declaraciones!G5</f>
        <v>15</v>
      </c>
      <c r="F5" s="8" t="n">
        <f aca="false">SUMIFS(Facturacion!$F$4:$F$724,Facturacion!$A$4:$A$724,Detalle_Clientes!A5)</f>
        <v>45.5</v>
      </c>
      <c r="G5" s="5" t="n">
        <f aca="false">Detalle_Clientes!B5</f>
        <v>702685</v>
      </c>
      <c r="H5" s="9" t="n">
        <f aca="false">G5/C5</f>
        <v>0.537574810330041</v>
      </c>
    </row>
    <row r="6" customFormat="false" ht="15" hidden="false" customHeight="false" outlineLevel="0" collapsed="false">
      <c r="A6" s="7" t="n">
        <v>2023</v>
      </c>
      <c r="B6" s="7" t="s">
        <v>17</v>
      </c>
      <c r="C6" s="5" t="n">
        <f aca="false">Detalle_Clientes!N6</f>
        <v>1839173</v>
      </c>
      <c r="D6" s="7" t="n">
        <f aca="false">COUNTIF(Detalle_Clientes!B6:M6,"&gt;0")</f>
        <v>8</v>
      </c>
      <c r="E6" s="7" t="n">
        <f aca="false">Declaraciones!G6</f>
        <v>20</v>
      </c>
      <c r="F6" s="8" t="n">
        <f aca="false">SUMIFS(Facturacion!$F$4:$F$724,Facturacion!$A$4:$A$724,Detalle_Clientes!A6)</f>
        <v>63.75</v>
      </c>
      <c r="G6" s="5" t="n">
        <f aca="false">Detalle_Clientes!B6</f>
        <v>989495</v>
      </c>
      <c r="H6" s="9" t="n">
        <f aca="false">G6/C6</f>
        <v>0.538010834217336</v>
      </c>
    </row>
    <row r="7" customFormat="false" ht="15" hidden="false" customHeight="false" outlineLevel="0" collapsed="false">
      <c r="A7" s="7" t="n">
        <v>2024</v>
      </c>
      <c r="B7" s="7" t="s">
        <v>18</v>
      </c>
      <c r="C7" s="5" t="n">
        <f aca="false">Detalle_Clientes!N7</f>
        <v>1708672</v>
      </c>
      <c r="D7" s="7" t="n">
        <f aca="false">COUNTIF(Detalle_Clientes!B7:M7,"&gt;0")</f>
        <v>8</v>
      </c>
      <c r="E7" s="7" t="n">
        <f aca="false">Declaraciones!G7</f>
        <v>18</v>
      </c>
      <c r="F7" s="8" t="n">
        <f aca="false">SUMIFS(Facturacion!$F$4:$F$724,Facturacion!$A$4:$A$724,Detalle_Clientes!A7)</f>
        <v>59.5</v>
      </c>
      <c r="G7" s="5" t="n">
        <f aca="false">Detalle_Clientes!B7</f>
        <v>774387</v>
      </c>
      <c r="H7" s="9" t="n">
        <f aca="false">G7/C7</f>
        <v>0.45320986122556</v>
      </c>
    </row>
    <row r="8" customFormat="false" ht="15" hidden="false" customHeight="false" outlineLevel="0" collapsed="false">
      <c r="A8" s="7" t="n">
        <v>2024</v>
      </c>
      <c r="B8" s="7" t="s">
        <v>19</v>
      </c>
      <c r="C8" s="5" t="n">
        <f aca="false">Detalle_Clientes!N8</f>
        <v>1523683</v>
      </c>
      <c r="D8" s="7" t="n">
        <f aca="false">COUNTIF(Detalle_Clientes!B8:M8,"&gt;0")</f>
        <v>9</v>
      </c>
      <c r="E8" s="7" t="n">
        <f aca="false">Declaraciones!G8</f>
        <v>23</v>
      </c>
      <c r="F8" s="8" t="n">
        <f aca="false">SUMIFS(Facturacion!$F$4:$F$724,Facturacion!$A$4:$A$724,Detalle_Clientes!A8)</f>
        <v>53</v>
      </c>
      <c r="G8" s="5" t="n">
        <f aca="false">Detalle_Clientes!B8</f>
        <v>760047</v>
      </c>
      <c r="H8" s="9" t="n">
        <f aca="false">G8/C8</f>
        <v>0.498822261585907</v>
      </c>
    </row>
    <row r="9" customFormat="false" ht="15" hidden="false" customHeight="false" outlineLevel="0" collapsed="false">
      <c r="A9" s="7" t="n">
        <v>2024</v>
      </c>
      <c r="B9" s="7" t="s">
        <v>20</v>
      </c>
      <c r="C9" s="5" t="n">
        <f aca="false">Detalle_Clientes!N9</f>
        <v>1825549</v>
      </c>
      <c r="D9" s="7" t="n">
        <f aca="false">COUNTIF(Detalle_Clientes!B9:M9,"&gt;0")</f>
        <v>11</v>
      </c>
      <c r="E9" s="7" t="n">
        <f aca="false">Declaraciones!G9</f>
        <v>21</v>
      </c>
      <c r="F9" s="8" t="n">
        <f aca="false">SUMIFS(Facturacion!$F$4:$F$724,Facturacion!$A$4:$A$724,Detalle_Clientes!A9)</f>
        <v>63</v>
      </c>
      <c r="G9" s="5" t="n">
        <f aca="false">Detalle_Clientes!B9</f>
        <v>717025</v>
      </c>
      <c r="H9" s="9" t="n">
        <f aca="false">G9/C9</f>
        <v>0.392772256455455</v>
      </c>
    </row>
    <row r="10" customFormat="false" ht="15" hidden="false" customHeight="false" outlineLevel="0" collapsed="false">
      <c r="A10" s="7" t="n">
        <v>2024</v>
      </c>
      <c r="B10" s="7" t="s">
        <v>21</v>
      </c>
      <c r="C10" s="5" t="n">
        <f aca="false">Detalle_Clientes!N10</f>
        <v>1335820</v>
      </c>
      <c r="D10" s="7" t="n">
        <f aca="false">COUNTIF(Detalle_Clientes!B10:M10,"&gt;0")</f>
        <v>8</v>
      </c>
      <c r="E10" s="7" t="n">
        <f aca="false">Declaraciones!G10</f>
        <v>15</v>
      </c>
      <c r="F10" s="8" t="n">
        <f aca="false">SUMIFS(Facturacion!$F$4:$F$724,Facturacion!$A$4:$A$724,Detalle_Clientes!A10)</f>
        <v>46.5</v>
      </c>
      <c r="G10" s="5" t="n">
        <f aca="false">Detalle_Clientes!B10</f>
        <v>674004</v>
      </c>
      <c r="H10" s="9" t="n">
        <f aca="false">G10/C10</f>
        <v>0.504561991885134</v>
      </c>
    </row>
    <row r="11" customFormat="false" ht="15" hidden="false" customHeight="false" outlineLevel="0" collapsed="false">
      <c r="A11" s="7" t="n">
        <v>2024</v>
      </c>
      <c r="B11" s="7" t="s">
        <v>22</v>
      </c>
      <c r="C11" s="5" t="n">
        <f aca="false">Detalle_Clientes!N11</f>
        <v>1489262</v>
      </c>
      <c r="D11" s="7" t="n">
        <f aca="false">COUNTIF(Detalle_Clientes!B11:M11,"&gt;0")</f>
        <v>8</v>
      </c>
      <c r="E11" s="7" t="n">
        <f aca="false">Declaraciones!G11</f>
        <v>15</v>
      </c>
      <c r="F11" s="8" t="n">
        <f aca="false">SUMIFS(Facturacion!$F$4:$F$724,Facturacion!$A$4:$A$724,Detalle_Clientes!A11)</f>
        <v>51.75</v>
      </c>
      <c r="G11" s="5" t="n">
        <f aca="false">Detalle_Clientes!B11</f>
        <v>745706</v>
      </c>
      <c r="H11" s="9" t="n">
        <f aca="false">G11/C11</f>
        <v>0.500721834035918</v>
      </c>
    </row>
    <row r="12" customFormat="false" ht="15" hidden="false" customHeight="false" outlineLevel="0" collapsed="false">
      <c r="A12" s="7" t="n">
        <v>2024</v>
      </c>
      <c r="B12" s="7" t="s">
        <v>23</v>
      </c>
      <c r="C12" s="5" t="n">
        <f aca="false">Detalle_Clientes!N12</f>
        <v>1307138</v>
      </c>
      <c r="D12" s="7" t="n">
        <f aca="false">COUNTIF(Detalle_Clientes!B12:M12,"&gt;0")</f>
        <v>8</v>
      </c>
      <c r="E12" s="7" t="n">
        <f aca="false">Declaraciones!G12</f>
        <v>15</v>
      </c>
      <c r="F12" s="8" t="n">
        <f aca="false">SUMIFS(Facturacion!$F$4:$F$724,Facturacion!$A$4:$A$724,Detalle_Clientes!A12)</f>
        <v>45.5</v>
      </c>
      <c r="G12" s="5" t="n">
        <f aca="false">Detalle_Clientes!B12</f>
        <v>688344</v>
      </c>
      <c r="H12" s="9" t="n">
        <f aca="false">G12/C12</f>
        <v>0.526603923992723</v>
      </c>
    </row>
    <row r="13" customFormat="false" ht="15" hidden="false" customHeight="false" outlineLevel="0" collapsed="false">
      <c r="A13" s="7" t="n">
        <v>2024</v>
      </c>
      <c r="B13" s="7" t="s">
        <v>24</v>
      </c>
      <c r="C13" s="5" t="n">
        <f aca="false">Detalle_Clientes!N13</f>
        <v>1648442</v>
      </c>
      <c r="D13" s="7" t="n">
        <f aca="false">COUNTIF(Detalle_Clientes!B13:M13,"&gt;0")</f>
        <v>9</v>
      </c>
      <c r="E13" s="7" t="n">
        <f aca="false">Declaraciones!G13</f>
        <v>15</v>
      </c>
      <c r="F13" s="8" t="n">
        <f aca="false">SUMIFS(Facturacion!$F$4:$F$724,Facturacion!$A$4:$A$724,Detalle_Clientes!A13)</f>
        <v>57.25</v>
      </c>
      <c r="G13" s="5" t="n">
        <f aca="false">Detalle_Clientes!B13</f>
        <v>989495</v>
      </c>
      <c r="H13" s="9" t="n">
        <f aca="false">G13/C13</f>
        <v>0.600260731041796</v>
      </c>
    </row>
    <row r="14" customFormat="false" ht="15" hidden="false" customHeight="false" outlineLevel="0" collapsed="false">
      <c r="A14" s="7" t="n">
        <v>2024</v>
      </c>
      <c r="B14" s="7" t="s">
        <v>25</v>
      </c>
      <c r="C14" s="5" t="n">
        <f aca="false">Detalle_Clientes!N14</f>
        <v>1342990</v>
      </c>
      <c r="D14" s="7" t="n">
        <f aca="false">COUNTIF(Detalle_Clientes!B14:M14,"&gt;0")</f>
        <v>8</v>
      </c>
      <c r="E14" s="7" t="n">
        <f aca="false">Declaraciones!G14</f>
        <v>15</v>
      </c>
      <c r="F14" s="8" t="n">
        <f aca="false">SUMIFS(Facturacion!$F$4:$F$724,Facturacion!$A$4:$A$724,Detalle_Clientes!A14)</f>
        <v>46.75</v>
      </c>
      <c r="G14" s="5" t="n">
        <f aca="false">Detalle_Clientes!B14</f>
        <v>731366</v>
      </c>
      <c r="H14" s="9" t="n">
        <f aca="false">G14/C14</f>
        <v>0.544580376622313</v>
      </c>
    </row>
    <row r="15" customFormat="false" ht="15" hidden="false" customHeight="false" outlineLevel="0" collapsed="false">
      <c r="A15" s="7" t="n">
        <v>2024</v>
      </c>
      <c r="B15" s="7" t="s">
        <v>26</v>
      </c>
      <c r="C15" s="5" t="n">
        <f aca="false">Detalle_Clientes!N15</f>
        <v>1307138</v>
      </c>
      <c r="D15" s="7" t="n">
        <f aca="false">COUNTIF(Detalle_Clientes!B15:M15,"&gt;0")</f>
        <v>8</v>
      </c>
      <c r="E15" s="7" t="n">
        <f aca="false">Declaraciones!G15</f>
        <v>15</v>
      </c>
      <c r="F15" s="8" t="n">
        <f aca="false">SUMIFS(Facturacion!$F$4:$F$724,Facturacion!$A$4:$A$724,Detalle_Clientes!A15)</f>
        <v>45.5</v>
      </c>
      <c r="G15" s="5" t="n">
        <f aca="false">Detalle_Clientes!B15</f>
        <v>688344</v>
      </c>
      <c r="H15" s="9" t="n">
        <f aca="false">G15/C15</f>
        <v>0.526603923992723</v>
      </c>
    </row>
    <row r="16" customFormat="false" ht="15" hidden="false" customHeight="false" outlineLevel="0" collapsed="false">
      <c r="A16" s="7" t="n">
        <v>2024</v>
      </c>
      <c r="B16" s="7" t="s">
        <v>15</v>
      </c>
      <c r="C16" s="5" t="n">
        <f aca="false">Detalle_Clientes!N16</f>
        <v>1393182</v>
      </c>
      <c r="D16" s="7" t="n">
        <f aca="false">COUNTIF(Detalle_Clientes!B16:M16,"&gt;0")</f>
        <v>8</v>
      </c>
      <c r="E16" s="7" t="n">
        <f aca="false">Declaraciones!G16</f>
        <v>15</v>
      </c>
      <c r="F16" s="8" t="n">
        <f aca="false">SUMIFS(Facturacion!$F$4:$F$724,Facturacion!$A$4:$A$724,Detalle_Clientes!A16)</f>
        <v>48.5</v>
      </c>
      <c r="G16" s="5" t="n">
        <f aca="false">Detalle_Clientes!B16</f>
        <v>702685</v>
      </c>
      <c r="H16" s="9" t="n">
        <f aca="false">G16/C16</f>
        <v>0.504374159298642</v>
      </c>
    </row>
    <row r="17" customFormat="false" ht="15" hidden="false" customHeight="false" outlineLevel="0" collapsed="false">
      <c r="A17" s="7" t="n">
        <v>2024</v>
      </c>
      <c r="B17" s="7" t="s">
        <v>16</v>
      </c>
      <c r="C17" s="5" t="n">
        <f aca="false">Detalle_Clientes!N17</f>
        <v>1386011</v>
      </c>
      <c r="D17" s="7" t="n">
        <f aca="false">COUNTIF(Detalle_Clientes!B17:M17,"&gt;0")</f>
        <v>8</v>
      </c>
      <c r="E17" s="7" t="n">
        <f aca="false">Declaraciones!G17</f>
        <v>15</v>
      </c>
      <c r="F17" s="8" t="n">
        <f aca="false">SUMIFS(Facturacion!$F$4:$F$724,Facturacion!$A$4:$A$724,Detalle_Clientes!A17)</f>
        <v>48.25</v>
      </c>
      <c r="G17" s="5" t="n">
        <f aca="false">Detalle_Clientes!B17</f>
        <v>760047</v>
      </c>
      <c r="H17" s="9" t="n">
        <f aca="false">G17/C17</f>
        <v>0.548370106730755</v>
      </c>
    </row>
    <row r="18" customFormat="false" ht="15" hidden="false" customHeight="false" outlineLevel="0" collapsed="false">
      <c r="A18" s="7" t="n">
        <v>2024</v>
      </c>
      <c r="B18" s="7" t="s">
        <v>17</v>
      </c>
      <c r="C18" s="5" t="n">
        <f aca="false">Detalle_Clientes!N18</f>
        <v>1865702</v>
      </c>
      <c r="D18" s="7" t="n">
        <f aca="false">COUNTIF(Detalle_Clientes!B18:M18,"&gt;0")</f>
        <v>8</v>
      </c>
      <c r="E18" s="7" t="n">
        <f aca="false">Declaraciones!G18</f>
        <v>20</v>
      </c>
      <c r="F18" s="8" t="n">
        <f aca="false">SUMIFS(Facturacion!$F$4:$F$724,Facturacion!$A$4:$A$724,Detalle_Clientes!A18)</f>
        <v>64.5</v>
      </c>
      <c r="G18" s="5" t="n">
        <f aca="false">Detalle_Clientes!B18</f>
        <v>946474</v>
      </c>
      <c r="H18" s="9" t="n">
        <f aca="false">G18/C18</f>
        <v>0.507301809184961</v>
      </c>
    </row>
    <row r="19" customFormat="false" ht="15" hidden="false" customHeight="false" outlineLevel="0" collapsed="false">
      <c r="A19" s="7" t="n">
        <v>2025</v>
      </c>
      <c r="B19" s="7" t="s">
        <v>18</v>
      </c>
      <c r="C19" s="5" t="n">
        <f aca="false">Detalle_Clientes!N19</f>
        <v>1737354</v>
      </c>
      <c r="D19" s="7" t="n">
        <f aca="false">COUNTIF(Detalle_Clientes!B19:M19,"&gt;0")</f>
        <v>8</v>
      </c>
      <c r="E19" s="7" t="n">
        <f aca="false">Declaraciones!G19</f>
        <v>18</v>
      </c>
      <c r="F19" s="8" t="n">
        <f aca="false">SUMIFS(Facturacion!$F$4:$F$724,Facturacion!$A$4:$A$724,Detalle_Clientes!A19)</f>
        <v>60.5</v>
      </c>
      <c r="G19" s="5" t="n">
        <f aca="false">Detalle_Clientes!B19</f>
        <v>817409</v>
      </c>
      <c r="H19" s="9" t="n">
        <f aca="false">G19/C19</f>
        <v>0.470490757784539</v>
      </c>
    </row>
    <row r="20" customFormat="false" ht="15" hidden="false" customHeight="false" outlineLevel="0" collapsed="false">
      <c r="A20" s="7" t="n">
        <v>2025</v>
      </c>
      <c r="B20" s="7" t="s">
        <v>19</v>
      </c>
      <c r="C20" s="5" t="n">
        <f aca="false">Detalle_Clientes!N20</f>
        <v>1596821</v>
      </c>
      <c r="D20" s="7" t="n">
        <f aca="false">COUNTIF(Detalle_Clientes!B20:M20,"&gt;0")</f>
        <v>9</v>
      </c>
      <c r="E20" s="7" t="n">
        <f aca="false">Declaraciones!G20</f>
        <v>23</v>
      </c>
      <c r="F20" s="8" t="n">
        <f aca="false">SUMIFS(Facturacion!$F$4:$F$724,Facturacion!$A$4:$A$724,Detalle_Clientes!A20)</f>
        <v>55.25</v>
      </c>
      <c r="G20" s="5" t="n">
        <f aca="false">Detalle_Clientes!B20</f>
        <v>745707</v>
      </c>
      <c r="H20" s="9" t="n">
        <f aca="false">G20/C20</f>
        <v>0.46699473516443</v>
      </c>
    </row>
    <row r="21" customFormat="false" ht="15" hidden="false" customHeight="false" outlineLevel="0" collapsed="false">
      <c r="A21" s="7" t="n">
        <v>2025</v>
      </c>
      <c r="B21" s="7" t="s">
        <v>20</v>
      </c>
      <c r="C21" s="5" t="n">
        <f aca="false">Detalle_Clientes!N21</f>
        <v>1985446</v>
      </c>
      <c r="D21" s="7" t="n">
        <f aca="false">COUNTIF(Detalle_Clientes!B21:M21,"&gt;0")</f>
        <v>12</v>
      </c>
      <c r="E21" s="7" t="n">
        <f aca="false">Declaraciones!G21</f>
        <v>22</v>
      </c>
      <c r="F21" s="8" t="n">
        <f aca="false">SUMIFS(Facturacion!$F$4:$F$724,Facturacion!$A$4:$A$724,Detalle_Clientes!A21)</f>
        <v>68.25</v>
      </c>
      <c r="G21" s="5" t="n">
        <f aca="false">Detalle_Clientes!B21</f>
        <v>717025</v>
      </c>
      <c r="H21" s="9" t="n">
        <f aca="false">G21/C21</f>
        <v>0.361140519560844</v>
      </c>
    </row>
    <row r="22" customFormat="false" ht="15" hidden="false" customHeight="false" outlineLevel="0" collapsed="false">
      <c r="A22" s="7" t="n">
        <v>2025</v>
      </c>
      <c r="B22" s="7" t="s">
        <v>21</v>
      </c>
      <c r="C22" s="5" t="n">
        <f aca="false">Detalle_Clientes!N22</f>
        <v>1550926</v>
      </c>
      <c r="D22" s="7" t="n">
        <f aca="false">COUNTIF(Detalle_Clientes!B22:M22,"&gt;0")</f>
        <v>9</v>
      </c>
      <c r="E22" s="7" t="n">
        <f aca="false">Declaraciones!G22</f>
        <v>15</v>
      </c>
      <c r="F22" s="8" t="n">
        <f aca="false">SUMIFS(Facturacion!$F$4:$F$724,Facturacion!$A$4:$A$724,Detalle_Clientes!A22)</f>
        <v>53.75</v>
      </c>
      <c r="G22" s="5" t="n">
        <f aca="false">Detalle_Clientes!B22</f>
        <v>760047</v>
      </c>
      <c r="H22" s="9" t="n">
        <f aca="false">G22/C22</f>
        <v>0.490060131818024</v>
      </c>
    </row>
    <row r="23" customFormat="false" ht="15" hidden="false" customHeight="false" outlineLevel="0" collapsed="false">
      <c r="A23" s="7" t="n">
        <v>2025</v>
      </c>
      <c r="B23" s="7" t="s">
        <v>22</v>
      </c>
      <c r="C23" s="5" t="n">
        <f aca="false">Detalle_Clientes!N23</f>
        <v>1400352</v>
      </c>
      <c r="D23" s="7" t="n">
        <f aca="false">COUNTIF(Detalle_Clientes!B23:M23,"&gt;0")</f>
        <v>8</v>
      </c>
      <c r="E23" s="7" t="n">
        <f aca="false">Declaraciones!G23</f>
        <v>15</v>
      </c>
      <c r="F23" s="8" t="n">
        <f aca="false">SUMIFS(Facturacion!$F$4:$F$724,Facturacion!$A$4:$A$724,Detalle_Clientes!A23)</f>
        <v>48.75</v>
      </c>
      <c r="G23" s="5" t="n">
        <f aca="false">Detalle_Clientes!B23</f>
        <v>760047</v>
      </c>
      <c r="H23" s="9" t="n">
        <f aca="false">G23/C23</f>
        <v>0.54275425035991</v>
      </c>
    </row>
    <row r="24" customFormat="false" ht="15" hidden="false" customHeight="false" outlineLevel="0" collapsed="false">
      <c r="A24" s="7" t="n">
        <v>2025</v>
      </c>
      <c r="B24" s="7" t="s">
        <v>23</v>
      </c>
      <c r="C24" s="5" t="n">
        <f aca="false">Detalle_Clientes!N24</f>
        <v>1641272</v>
      </c>
      <c r="D24" s="7" t="n">
        <f aca="false">COUNTIF(Detalle_Clientes!B24:M24,"&gt;0")</f>
        <v>9</v>
      </c>
      <c r="E24" s="7" t="n">
        <f aca="false">Declaraciones!G24</f>
        <v>15</v>
      </c>
      <c r="F24" s="8" t="n">
        <f aca="false">SUMIFS(Facturacion!$F$4:$F$724,Facturacion!$A$4:$A$724,Detalle_Clientes!A24)</f>
        <v>57</v>
      </c>
      <c r="G24" s="5" t="n">
        <f aca="false">Detalle_Clientes!B24</f>
        <v>903452</v>
      </c>
      <c r="H24" s="9" t="n">
        <f aca="false">G24/C24</f>
        <v>0.550458424928958</v>
      </c>
    </row>
    <row r="25" customFormat="false" ht="15" hidden="false" customHeight="false" outlineLevel="0" collapsed="false">
      <c r="A25" s="7" t="n">
        <v>2025</v>
      </c>
      <c r="B25" s="7" t="s">
        <v>24</v>
      </c>
      <c r="C25" s="5" t="n">
        <f aca="false">Detalle_Clientes!N25</f>
        <v>1400352</v>
      </c>
      <c r="D25" s="7" t="n">
        <f aca="false">COUNTIF(Detalle_Clientes!B25:M25,"&gt;0")</f>
        <v>8</v>
      </c>
      <c r="E25" s="7" t="n">
        <f aca="false">Declaraciones!G25</f>
        <v>15</v>
      </c>
      <c r="F25" s="8" t="n">
        <f aca="false">SUMIFS(Facturacion!$F$4:$F$724,Facturacion!$A$4:$A$724,Detalle_Clientes!A25)</f>
        <v>48.75</v>
      </c>
      <c r="G25" s="5" t="n">
        <f aca="false">Detalle_Clientes!B25</f>
        <v>731366</v>
      </c>
      <c r="H25" s="9" t="n">
        <f aca="false">G25/C25</f>
        <v>0.522272971367199</v>
      </c>
    </row>
    <row r="26" customFormat="false" ht="15" hidden="false" customHeight="false" outlineLevel="0" collapsed="false">
      <c r="A26" s="7" t="n">
        <v>2025</v>
      </c>
      <c r="B26" s="7" t="s">
        <v>25</v>
      </c>
      <c r="C26" s="5" t="n">
        <f aca="false">Detalle_Clientes!N26</f>
        <v>1542322</v>
      </c>
      <c r="D26" s="7" t="n">
        <f aca="false">COUNTIF(Detalle_Clientes!B26:M26,"&gt;0")</f>
        <v>9</v>
      </c>
      <c r="E26" s="7" t="n">
        <f aca="false">Declaraciones!G26</f>
        <v>15</v>
      </c>
      <c r="F26" s="8" t="n">
        <f aca="false">SUMIFS(Facturacion!$F$4:$F$724,Facturacion!$A$4:$A$724,Detalle_Clientes!A26)</f>
        <v>53.25</v>
      </c>
      <c r="G26" s="5" t="n">
        <f aca="false">Detalle_Clientes!B26</f>
        <v>760047</v>
      </c>
      <c r="H26" s="9" t="n">
        <f aca="false">G26/C26</f>
        <v>0.492793982060815</v>
      </c>
    </row>
    <row r="27" customFormat="false" ht="15" hidden="false" customHeight="false" outlineLevel="0" collapsed="false">
      <c r="A27" s="7" t="n">
        <v>2025</v>
      </c>
      <c r="B27" s="7" t="s">
        <v>26</v>
      </c>
      <c r="C27" s="5" t="n">
        <f aca="false">Detalle_Clientes!N27</f>
        <v>1444089</v>
      </c>
      <c r="D27" s="7" t="n">
        <f aca="false">COUNTIF(Detalle_Clientes!B27:M27,"&gt;0")</f>
        <v>8</v>
      </c>
      <c r="E27" s="7" t="n">
        <f aca="false">Declaraciones!G27</f>
        <v>15</v>
      </c>
      <c r="F27" s="8" t="n">
        <f aca="false">SUMIFS(Facturacion!$F$4:$F$724,Facturacion!$A$4:$A$724,Detalle_Clientes!A27)</f>
        <v>50.25</v>
      </c>
      <c r="G27" s="5" t="n">
        <f aca="false">Detalle_Clientes!B27</f>
        <v>717025</v>
      </c>
      <c r="H27" s="9" t="n">
        <f aca="false">G27/C27</f>
        <v>0.496524106201211</v>
      </c>
    </row>
    <row r="28" customFormat="false" ht="15" hidden="false" customHeight="false" outlineLevel="0" collapsed="false">
      <c r="A28" s="7" t="n">
        <v>2025</v>
      </c>
      <c r="B28" s="7" t="s">
        <v>15</v>
      </c>
      <c r="C28" s="5" t="n">
        <f aca="false">Detalle_Clientes!N28</f>
        <v>1423296</v>
      </c>
      <c r="D28" s="7" t="n">
        <f aca="false">COUNTIF(Detalle_Clientes!B28:M28,"&gt;0")</f>
        <v>9</v>
      </c>
      <c r="E28" s="7" t="n">
        <f aca="false">Declaraciones!G28</f>
        <v>15</v>
      </c>
      <c r="F28" s="8" t="n">
        <f aca="false">SUMIFS(Facturacion!$F$4:$F$724,Facturacion!$A$4:$A$724,Detalle_Clientes!A28)</f>
        <v>49.5</v>
      </c>
      <c r="G28" s="5" t="n">
        <f aca="false">Detalle_Clientes!B28</f>
        <v>717025</v>
      </c>
      <c r="H28" s="9" t="n">
        <f aca="false">G28/C28</f>
        <v>0.50377785084761</v>
      </c>
    </row>
    <row r="29" customFormat="false" ht="15" hidden="false" customHeight="false" outlineLevel="0" collapsed="false">
      <c r="A29" s="7" t="n">
        <v>2025</v>
      </c>
      <c r="B29" s="7" t="s">
        <v>16</v>
      </c>
      <c r="C29" s="5" t="n">
        <f aca="false">Detalle_Clientes!N29</f>
        <v>1458430</v>
      </c>
      <c r="D29" s="7" t="n">
        <f aca="false">COUNTIF(Detalle_Clientes!B29:M29,"&gt;0")</f>
        <v>8</v>
      </c>
      <c r="E29" s="7" t="n">
        <f aca="false">Declaraciones!G29</f>
        <v>15</v>
      </c>
      <c r="F29" s="8" t="n">
        <f aca="false">SUMIFS(Facturacion!$F$4:$F$724,Facturacion!$A$4:$A$724,Detalle_Clientes!A29)</f>
        <v>50.75</v>
      </c>
      <c r="G29" s="5" t="n">
        <f aca="false">Detalle_Clientes!B29</f>
        <v>788728</v>
      </c>
      <c r="H29" s="9" t="n">
        <f aca="false">G29/C29</f>
        <v>0.540806209416976</v>
      </c>
    </row>
    <row r="30" customFormat="false" ht="15" hidden="false" customHeight="false" outlineLevel="0" collapsed="false">
      <c r="A30" s="7" t="n">
        <v>2025</v>
      </c>
      <c r="B30" s="7" t="s">
        <v>17</v>
      </c>
      <c r="C30" s="5" t="n">
        <f aca="false">Detalle_Clientes!N30</f>
        <v>1986163</v>
      </c>
      <c r="D30" s="7" t="n">
        <f aca="false">COUNTIF(Detalle_Clientes!B30:M30,"&gt;0")</f>
        <v>8</v>
      </c>
      <c r="E30" s="7" t="n">
        <f aca="false">Declaraciones!G30</f>
        <v>20</v>
      </c>
      <c r="F30" s="8" t="n">
        <f aca="false">SUMIFS(Facturacion!$F$4:$F$724,Facturacion!$A$4:$A$724,Detalle_Clientes!A30)</f>
        <v>69</v>
      </c>
      <c r="G30" s="5" t="n">
        <f aca="false">Detalle_Clientes!B30</f>
        <v>1046857</v>
      </c>
      <c r="H30" s="9" t="n">
        <f aca="false">G30/C30</f>
        <v>0.527075068863935</v>
      </c>
    </row>
    <row r="31" customFormat="false" ht="15" hidden="false" customHeight="false" outlineLevel="0" collapsed="false">
      <c r="A31" s="7" t="n">
        <v>2026</v>
      </c>
      <c r="B31" s="7" t="s">
        <v>18</v>
      </c>
      <c r="C31" s="5" t="n">
        <f aca="false">Detalle_Clientes!N31</f>
        <v>1752410</v>
      </c>
      <c r="D31" s="7" t="n">
        <f aca="false">COUNTIF(Detalle_Clientes!B31:M31,"&gt;0")</f>
        <v>8</v>
      </c>
      <c r="E31" s="7" t="n">
        <f aca="false">Declaraciones!G31</f>
        <v>18</v>
      </c>
      <c r="F31" s="8" t="n">
        <f aca="false">SUMIFS(Facturacion!$F$4:$F$724,Facturacion!$A$4:$A$724,Detalle_Clientes!A31)</f>
        <v>61</v>
      </c>
      <c r="G31" s="5" t="n">
        <f aca="false">Detalle_Clientes!B31</f>
        <v>817409</v>
      </c>
      <c r="H31" s="9" t="n">
        <f aca="false">G31/C31</f>
        <v>0.46644849093534</v>
      </c>
    </row>
    <row r="32" customFormat="false" ht="15" hidden="false" customHeight="false" outlineLevel="0" collapsed="false">
      <c r="A32" s="7" t="n">
        <v>2026</v>
      </c>
      <c r="B32" s="7" t="s">
        <v>19</v>
      </c>
      <c r="C32" s="5" t="n">
        <f aca="false">Detalle_Clientes!N32</f>
        <v>1690750</v>
      </c>
      <c r="D32" s="7" t="n">
        <f aca="false">COUNTIF(Detalle_Clientes!B32:M32,"&gt;0")</f>
        <v>9</v>
      </c>
      <c r="E32" s="7" t="n">
        <f aca="false">Declaraciones!G32</f>
        <v>23</v>
      </c>
      <c r="F32" s="8" t="n">
        <f aca="false">SUMIFS(Facturacion!$F$4:$F$724,Facturacion!$A$4:$A$724,Detalle_Clientes!A32)</f>
        <v>58.75</v>
      </c>
      <c r="G32" s="5" t="n">
        <f aca="false">Detalle_Clientes!B32</f>
        <v>817409</v>
      </c>
      <c r="H32" s="9" t="n">
        <f aca="false">G32/C32</f>
        <v>0.483459411503771</v>
      </c>
    </row>
    <row r="33" customFormat="false" ht="15" hidden="false" customHeight="false" outlineLevel="0" collapsed="false">
      <c r="A33" s="7" t="n">
        <v>2026</v>
      </c>
      <c r="B33" s="7" t="s">
        <v>20</v>
      </c>
      <c r="C33" s="5" t="n">
        <f aca="false">Detalle_Clientes!N33</f>
        <v>1953538</v>
      </c>
      <c r="D33" s="7" t="n">
        <f aca="false">COUNTIF(Detalle_Clientes!B33:M33,"&gt;0")</f>
        <v>12</v>
      </c>
      <c r="E33" s="7" t="n">
        <f aca="false">Declaraciones!G33</f>
        <v>22</v>
      </c>
      <c r="F33" s="8" t="n">
        <f aca="false">SUMIFS(Facturacion!$F$4:$F$724,Facturacion!$A$4:$A$724,Detalle_Clientes!A33)</f>
        <v>67.5</v>
      </c>
      <c r="G33" s="5" t="n">
        <f aca="false">Detalle_Clientes!B33</f>
        <v>745706</v>
      </c>
      <c r="H33" s="9" t="n">
        <f aca="false">G33/C33</f>
        <v>0.381720754856061</v>
      </c>
    </row>
    <row r="34" customFormat="false" ht="15" hidden="false" customHeight="false" outlineLevel="0" collapsed="false">
      <c r="A34" s="7" t="n">
        <v>2026</v>
      </c>
      <c r="B34" s="7" t="s">
        <v>21</v>
      </c>
      <c r="C34" s="5" t="n">
        <f aca="false">Detalle_Clientes!N34</f>
        <v>1571719</v>
      </c>
      <c r="D34" s="7" t="n">
        <f aca="false">COUNTIF(Detalle_Clientes!B34:M34,"&gt;0")</f>
        <v>9</v>
      </c>
      <c r="E34" s="7" t="n">
        <f aca="false">Declaraciones!G34</f>
        <v>15</v>
      </c>
      <c r="F34" s="8" t="n">
        <f aca="false">SUMIFS(Facturacion!$F$4:$F$724,Facturacion!$A$4:$A$724,Detalle_Clientes!A34)</f>
        <v>54.25</v>
      </c>
      <c r="G34" s="5" t="n">
        <f aca="false">Detalle_Clientes!B34</f>
        <v>731366</v>
      </c>
      <c r="H34" s="9" t="n">
        <f aca="false">G34/C34</f>
        <v>0.465328726063628</v>
      </c>
    </row>
    <row r="35" customFormat="false" ht="15" hidden="false" customHeight="false" outlineLevel="0" collapsed="false">
      <c r="A35" s="7" t="n">
        <v>2026</v>
      </c>
      <c r="B35" s="7" t="s">
        <v>22</v>
      </c>
      <c r="C35" s="5" t="n">
        <f aca="false">Detalle_Clientes!N35</f>
        <v>1436202</v>
      </c>
      <c r="D35" s="7" t="n">
        <f aca="false">COUNTIF(Detalle_Clientes!B35:M35,"&gt;0")</f>
        <v>8</v>
      </c>
      <c r="E35" s="7" t="n">
        <f aca="false">Declaraciones!G35</f>
        <v>15</v>
      </c>
      <c r="F35" s="8" t="n">
        <f aca="false">SUMIFS(Facturacion!$F$4:$F$724,Facturacion!$A$4:$A$724,Detalle_Clientes!A35)</f>
        <v>50</v>
      </c>
      <c r="G35" s="5" t="n">
        <f aca="false">Detalle_Clientes!B35</f>
        <v>760047</v>
      </c>
      <c r="H35" s="9" t="n">
        <f aca="false">G35/C35</f>
        <v>0.529206198013928</v>
      </c>
    </row>
    <row r="36" customFormat="false" ht="15" hidden="false" customHeight="false" outlineLevel="0" collapsed="false">
      <c r="A36" s="7" t="n">
        <v>2026</v>
      </c>
      <c r="B36" s="7" t="s">
        <v>23</v>
      </c>
      <c r="C36" s="5" t="n">
        <f aca="false">Detalle_Clientes!N36</f>
        <v>1837736</v>
      </c>
      <c r="D36" s="7" t="n">
        <f aca="false">COUNTIF(Detalle_Clientes!B36:M36,"&gt;0")</f>
        <v>8</v>
      </c>
      <c r="E36" s="7" t="n">
        <f aca="false">Declaraciones!G36</f>
        <v>15</v>
      </c>
      <c r="F36" s="8" t="n">
        <f aca="false">SUMIFS(Facturacion!$F$4:$F$724,Facturacion!$A$4:$A$724,Detalle_Clientes!A36)</f>
        <v>64</v>
      </c>
      <c r="G36" s="5" t="n">
        <f aca="false">Detalle_Clientes!B36</f>
        <v>1147240</v>
      </c>
      <c r="H36" s="9" t="n">
        <f aca="false">G36/C36</f>
        <v>0.624268121210011</v>
      </c>
    </row>
    <row r="37" customFormat="false" ht="15" hidden="false" customHeight="false" outlineLevel="0" collapsed="false">
      <c r="A37" s="7" t="n">
        <v>2026</v>
      </c>
      <c r="B37" s="7" t="s">
        <v>24</v>
      </c>
      <c r="C37" s="5" t="n">
        <f aca="false">Detalle_Clientes!N37</f>
        <v>1450543</v>
      </c>
      <c r="D37" s="7" t="n">
        <f aca="false">COUNTIF(Detalle_Clientes!B37:M37,"&gt;0")</f>
        <v>8</v>
      </c>
      <c r="E37" s="7" t="n">
        <f aca="false">Declaraciones!G37</f>
        <v>15</v>
      </c>
      <c r="F37" s="8" t="n">
        <f aca="false">SUMIFS(Facturacion!$F$4:$F$724,Facturacion!$A$4:$A$724,Detalle_Clientes!A37)</f>
        <v>50.5</v>
      </c>
      <c r="G37" s="5" t="n">
        <f aca="false">Detalle_Clientes!B37</f>
        <v>745706</v>
      </c>
      <c r="H37" s="9" t="n">
        <f aca="false">G37/C37</f>
        <v>0.514087483101156</v>
      </c>
    </row>
    <row r="38" customFormat="false" ht="15" hidden="false" customHeight="false" outlineLevel="0" collapsed="false">
      <c r="A38" s="7" t="n">
        <v>2026</v>
      </c>
      <c r="B38" s="7" t="s">
        <v>25</v>
      </c>
      <c r="C38" s="5" t="n">
        <f aca="false">Detalle_Clientes!N38</f>
        <v>1528700</v>
      </c>
      <c r="D38" s="7" t="n">
        <f aca="false">COUNTIF(Detalle_Clientes!B38:M38,"&gt;0")</f>
        <v>9</v>
      </c>
      <c r="E38" s="7" t="n">
        <f aca="false">Declaraciones!G38</f>
        <v>15</v>
      </c>
      <c r="F38" s="8" t="n">
        <f aca="false">SUMIFS(Facturacion!$F$4:$F$724,Facturacion!$A$4:$A$724,Detalle_Clientes!A38)</f>
        <v>53</v>
      </c>
      <c r="G38" s="5" t="n">
        <f aca="false">Detalle_Clientes!B38</f>
        <v>788728</v>
      </c>
      <c r="H38" s="9" t="n">
        <f aca="false">G38/C38</f>
        <v>0.51594688297246</v>
      </c>
    </row>
    <row r="39" customFormat="false" ht="15" hidden="false" customHeight="false" outlineLevel="0" collapsed="false">
      <c r="A39" s="7" t="n">
        <v>2026</v>
      </c>
      <c r="B39" s="7" t="s">
        <v>26</v>
      </c>
      <c r="C39" s="5" t="n">
        <f aca="false">Detalle_Clientes!N39</f>
        <v>1540888</v>
      </c>
      <c r="D39" s="7" t="n">
        <f aca="false">COUNTIF(Detalle_Clientes!B39:M39,"&gt;0")</f>
        <v>9</v>
      </c>
      <c r="E39" s="7" t="n">
        <f aca="false">Declaraciones!G39</f>
        <v>15</v>
      </c>
      <c r="F39" s="8" t="n">
        <f aca="false">SUMIFS(Facturacion!$F$4:$F$724,Facturacion!$A$4:$A$724,Detalle_Clientes!A39)</f>
        <v>53.5</v>
      </c>
      <c r="G39" s="5" t="n">
        <f aca="false">Detalle_Clientes!B39</f>
        <v>788728</v>
      </c>
      <c r="H39" s="9" t="n">
        <f aca="false">G39/C39</f>
        <v>0.511865885125979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4" min="2" style="0" width="16"/>
  </cols>
  <sheetData>
    <row r="1" customFormat="false" ht="16.15" hidden="false" customHeight="false" outlineLevel="0" collapsed="false">
      <c r="A1" s="1" t="s">
        <v>27</v>
      </c>
    </row>
    <row r="2" customFormat="false" ht="15" hidden="false" customHeight="false" outlineLevel="0" collapsed="false">
      <c r="A2" s="10" t="s">
        <v>28</v>
      </c>
      <c r="B2" s="11" t="s">
        <v>29</v>
      </c>
      <c r="C2" s="11" t="s">
        <v>30</v>
      </c>
      <c r="D2" s="11" t="s">
        <v>31</v>
      </c>
      <c r="E2" s="11" t="s">
        <v>32</v>
      </c>
      <c r="F2" s="11" t="s">
        <v>33</v>
      </c>
      <c r="G2" s="11" t="s">
        <v>34</v>
      </c>
      <c r="H2" s="11" t="s">
        <v>35</v>
      </c>
      <c r="I2" s="11" t="s">
        <v>36</v>
      </c>
      <c r="J2" s="11" t="s">
        <v>37</v>
      </c>
      <c r="K2" s="11" t="s">
        <v>38</v>
      </c>
      <c r="L2" s="11" t="s">
        <v>39</v>
      </c>
      <c r="M2" s="11" t="s">
        <v>40</v>
      </c>
    </row>
    <row r="3" customFormat="false" ht="48" hidden="false" customHeight="true" outlineLevel="0" collapsed="false">
      <c r="A3" s="2" t="s">
        <v>1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  <c r="H3" s="2" t="s">
        <v>47</v>
      </c>
      <c r="I3" s="2" t="s">
        <v>48</v>
      </c>
      <c r="J3" s="2" t="s">
        <v>49</v>
      </c>
      <c r="K3" s="2" t="s">
        <v>50</v>
      </c>
      <c r="L3" s="2" t="s">
        <v>51</v>
      </c>
      <c r="M3" s="2" t="s">
        <v>52</v>
      </c>
      <c r="N3" s="2" t="s">
        <v>53</v>
      </c>
    </row>
    <row r="4" customFormat="false" ht="15" hidden="false" customHeight="false" outlineLevel="0" collapsed="false">
      <c r="A4" s="4" t="n">
        <v>45200</v>
      </c>
      <c r="B4" s="5" t="n">
        <f aca="false">SUMIFS(Facturacion!$I$4:$I$724,Facturacion!$A$4:$A$724,$A4,Facturacion!$B$4:$B$724,B$2)</f>
        <v>688344</v>
      </c>
      <c r="C4" s="5" t="n">
        <f aca="false">SUMIFS(Facturacion!$I$4:$I$724,Facturacion!$A$4:$A$724,$A4,Facturacion!$B$4:$B$724,C$2)</f>
        <v>107554</v>
      </c>
      <c r="D4" s="5" t="n">
        <f aca="false">SUMIFS(Facturacion!$I$4:$I$724,Facturacion!$A$4:$A$724,$A4,Facturacion!$B$4:$B$724,D$2)</f>
        <v>23662</v>
      </c>
      <c r="E4" s="5" t="n">
        <f aca="false">SUMIFS(Facturacion!$I$4:$I$724,Facturacion!$A$4:$A$724,$A4,Facturacion!$B$4:$B$724,E$2)</f>
        <v>21511</v>
      </c>
      <c r="F4" s="5" t="n">
        <f aca="false">SUMIFS(Facturacion!$I$4:$I$724,Facturacion!$A$4:$A$724,$A4,Facturacion!$B$4:$B$724,F$2)</f>
        <v>215108</v>
      </c>
      <c r="G4" s="5" t="n">
        <f aca="false">SUMIFS(Facturacion!$I$4:$I$724,Facturacion!$A$4:$A$724,$A4,Facturacion!$B$4:$B$724,G$2)</f>
        <v>0</v>
      </c>
      <c r="H4" s="5" t="n">
        <f aca="false">SUMIFS(Facturacion!$I$4:$I$724,Facturacion!$A$4:$A$724,$A4,Facturacion!$B$4:$B$724,H$2)</f>
        <v>21511</v>
      </c>
      <c r="I4" s="5" t="n">
        <f aca="false">SUMIFS(Facturacion!$I$4:$I$724,Facturacion!$A$4:$A$724,$A4,Facturacion!$B$4:$B$724,I$2)</f>
        <v>28681</v>
      </c>
      <c r="J4" s="5" t="n">
        <f aca="false">SUMIFS(Facturacion!$I$4:$I$724,Facturacion!$A$4:$A$724,$A4,Facturacion!$B$4:$B$724,J$2)</f>
        <v>0</v>
      </c>
      <c r="K4" s="5" t="n">
        <f aca="false">SUMIFS(Facturacion!$I$4:$I$724,Facturacion!$A$4:$A$724,$A4,Facturacion!$B$4:$B$724,K$2)</f>
        <v>222278</v>
      </c>
      <c r="L4" s="5" t="n">
        <f aca="false">SUMIFS(Facturacion!$I$4:$I$724,Facturacion!$A$4:$A$724,$A4,Facturacion!$B$4:$B$724,L$2)</f>
        <v>0</v>
      </c>
      <c r="M4" s="5" t="n">
        <f aca="false">SUMIFS(Facturacion!$I$4:$I$724,Facturacion!$A$4:$A$724,$A4,Facturacion!$B$4:$B$724,M$2)</f>
        <v>0</v>
      </c>
      <c r="N4" s="12" t="n">
        <f aca="false">SUM(B4:M4)</f>
        <v>1328649</v>
      </c>
    </row>
    <row r="5" customFormat="false" ht="15" hidden="false" customHeight="false" outlineLevel="0" collapsed="false">
      <c r="A5" s="4" t="n">
        <v>45231</v>
      </c>
      <c r="B5" s="5" t="n">
        <f aca="false">SUMIFS(Facturacion!$I$4:$I$724,Facturacion!$A$4:$A$724,$A5,Facturacion!$B$4:$B$724,B$2)</f>
        <v>702685</v>
      </c>
      <c r="C5" s="5" t="n">
        <f aca="false">SUMIFS(Facturacion!$I$4:$I$724,Facturacion!$A$4:$A$724,$A5,Facturacion!$B$4:$B$724,C$2)</f>
        <v>114724</v>
      </c>
      <c r="D5" s="5" t="n">
        <f aca="false">SUMIFS(Facturacion!$I$4:$I$724,Facturacion!$A$4:$A$724,$A5,Facturacion!$B$4:$B$724,D$2)</f>
        <v>23662</v>
      </c>
      <c r="E5" s="5" t="n">
        <f aca="false">SUMIFS(Facturacion!$I$4:$I$724,Facturacion!$A$4:$A$724,$A5,Facturacion!$B$4:$B$724,E$2)</f>
        <v>21511</v>
      </c>
      <c r="F5" s="5" t="n">
        <f aca="false">SUMIFS(Facturacion!$I$4:$I$724,Facturacion!$A$4:$A$724,$A5,Facturacion!$B$4:$B$724,F$2)</f>
        <v>186427</v>
      </c>
      <c r="G5" s="5" t="n">
        <f aca="false">SUMIFS(Facturacion!$I$4:$I$724,Facturacion!$A$4:$A$724,$A5,Facturacion!$B$4:$B$724,G$2)</f>
        <v>0</v>
      </c>
      <c r="H5" s="5" t="n">
        <f aca="false">SUMIFS(Facturacion!$I$4:$I$724,Facturacion!$A$4:$A$724,$A5,Facturacion!$B$4:$B$724,H$2)</f>
        <v>21511</v>
      </c>
      <c r="I5" s="5" t="n">
        <f aca="false">SUMIFS(Facturacion!$I$4:$I$724,Facturacion!$A$4:$A$724,$A5,Facturacion!$B$4:$B$724,I$2)</f>
        <v>28681</v>
      </c>
      <c r="J5" s="5" t="n">
        <f aca="false">SUMIFS(Facturacion!$I$4:$I$724,Facturacion!$A$4:$A$724,$A5,Facturacion!$B$4:$B$724,J$2)</f>
        <v>0</v>
      </c>
      <c r="K5" s="5" t="n">
        <f aca="false">SUMIFS(Facturacion!$I$4:$I$724,Facturacion!$A$4:$A$724,$A5,Facturacion!$B$4:$B$724,K$2)</f>
        <v>207938</v>
      </c>
      <c r="L5" s="5" t="n">
        <f aca="false">SUMIFS(Facturacion!$I$4:$I$724,Facturacion!$A$4:$A$724,$A5,Facturacion!$B$4:$B$724,L$2)</f>
        <v>0</v>
      </c>
      <c r="M5" s="5" t="n">
        <f aca="false">SUMIFS(Facturacion!$I$4:$I$724,Facturacion!$A$4:$A$724,$A5,Facturacion!$B$4:$B$724,M$2)</f>
        <v>0</v>
      </c>
      <c r="N5" s="12" t="n">
        <f aca="false">SUM(B5:M5)</f>
        <v>1307139</v>
      </c>
    </row>
    <row r="6" customFormat="false" ht="15" hidden="false" customHeight="false" outlineLevel="0" collapsed="false">
      <c r="A6" s="4" t="n">
        <v>45261</v>
      </c>
      <c r="B6" s="5" t="n">
        <f aca="false">SUMIFS(Facturacion!$I$4:$I$724,Facturacion!$A$4:$A$724,$A6,Facturacion!$B$4:$B$724,B$2)</f>
        <v>989495</v>
      </c>
      <c r="C6" s="5" t="n">
        <f aca="false">SUMIFS(Facturacion!$I$4:$I$724,Facturacion!$A$4:$A$724,$A6,Facturacion!$B$4:$B$724,C$2)</f>
        <v>121894</v>
      </c>
      <c r="D6" s="5" t="n">
        <f aca="false">SUMIFS(Facturacion!$I$4:$I$724,Facturacion!$A$4:$A$724,$A6,Facturacion!$B$4:$B$724,D$2)</f>
        <v>118310</v>
      </c>
      <c r="E6" s="5" t="n">
        <f aca="false">SUMIFS(Facturacion!$I$4:$I$724,Facturacion!$A$4:$A$724,$A6,Facturacion!$B$4:$B$724,E$2)</f>
        <v>64533</v>
      </c>
      <c r="F6" s="5" t="n">
        <f aca="false">SUMIFS(Facturacion!$I$4:$I$724,Facturacion!$A$4:$A$724,$A6,Facturacion!$B$4:$B$724,F$2)</f>
        <v>229449</v>
      </c>
      <c r="G6" s="5" t="n">
        <f aca="false">SUMIFS(Facturacion!$I$4:$I$724,Facturacion!$A$4:$A$724,$A6,Facturacion!$B$4:$B$724,G$2)</f>
        <v>0</v>
      </c>
      <c r="H6" s="5" t="n">
        <f aca="false">SUMIFS(Facturacion!$I$4:$I$724,Facturacion!$A$4:$A$724,$A6,Facturacion!$B$4:$B$724,H$2)</f>
        <v>21511</v>
      </c>
      <c r="I6" s="5" t="n">
        <f aca="false">SUMIFS(Facturacion!$I$4:$I$724,Facturacion!$A$4:$A$724,$A6,Facturacion!$B$4:$B$724,I$2)</f>
        <v>28681</v>
      </c>
      <c r="J6" s="5" t="n">
        <f aca="false">SUMIFS(Facturacion!$I$4:$I$724,Facturacion!$A$4:$A$724,$A6,Facturacion!$B$4:$B$724,J$2)</f>
        <v>0</v>
      </c>
      <c r="K6" s="5" t="n">
        <f aca="false">SUMIFS(Facturacion!$I$4:$I$724,Facturacion!$A$4:$A$724,$A6,Facturacion!$B$4:$B$724,K$2)</f>
        <v>265300</v>
      </c>
      <c r="L6" s="5" t="n">
        <f aca="false">SUMIFS(Facturacion!$I$4:$I$724,Facturacion!$A$4:$A$724,$A6,Facturacion!$B$4:$B$724,L$2)</f>
        <v>0</v>
      </c>
      <c r="M6" s="5" t="n">
        <f aca="false">SUMIFS(Facturacion!$I$4:$I$724,Facturacion!$A$4:$A$724,$A6,Facturacion!$B$4:$B$724,M$2)</f>
        <v>0</v>
      </c>
      <c r="N6" s="12" t="n">
        <f aca="false">SUM(B6:M6)</f>
        <v>1839173</v>
      </c>
    </row>
    <row r="7" customFormat="false" ht="15" hidden="false" customHeight="false" outlineLevel="0" collapsed="false">
      <c r="A7" s="4" t="n">
        <v>45292</v>
      </c>
      <c r="B7" s="5" t="n">
        <f aca="false">SUMIFS(Facturacion!$I$4:$I$724,Facturacion!$A$4:$A$724,$A7,Facturacion!$B$4:$B$724,B$2)</f>
        <v>774387</v>
      </c>
      <c r="C7" s="5" t="n">
        <f aca="false">SUMIFS(Facturacion!$I$4:$I$724,Facturacion!$A$4:$A$724,$A7,Facturacion!$B$4:$B$724,C$2)</f>
        <v>114724</v>
      </c>
      <c r="D7" s="5" t="n">
        <f aca="false">SUMIFS(Facturacion!$I$4:$I$724,Facturacion!$A$4:$A$724,$A7,Facturacion!$B$4:$B$724,D$2)</f>
        <v>23662</v>
      </c>
      <c r="E7" s="5" t="n">
        <f aca="false">SUMIFS(Facturacion!$I$4:$I$724,Facturacion!$A$4:$A$724,$A7,Facturacion!$B$4:$B$724,E$2)</f>
        <v>21511</v>
      </c>
      <c r="F7" s="5" t="n">
        <f aca="false">SUMIFS(Facturacion!$I$4:$I$724,Facturacion!$A$4:$A$724,$A7,Facturacion!$B$4:$B$724,F$2)</f>
        <v>430215</v>
      </c>
      <c r="G7" s="5" t="n">
        <f aca="false">SUMIFS(Facturacion!$I$4:$I$724,Facturacion!$A$4:$A$724,$A7,Facturacion!$B$4:$B$724,G$2)</f>
        <v>0</v>
      </c>
      <c r="H7" s="5" t="n">
        <f aca="false">SUMIFS(Facturacion!$I$4:$I$724,Facturacion!$A$4:$A$724,$A7,Facturacion!$B$4:$B$724,H$2)</f>
        <v>21511</v>
      </c>
      <c r="I7" s="5" t="n">
        <f aca="false">SUMIFS(Facturacion!$I$4:$I$724,Facturacion!$A$4:$A$724,$A7,Facturacion!$B$4:$B$724,I$2)</f>
        <v>28681</v>
      </c>
      <c r="J7" s="5" t="n">
        <f aca="false">SUMIFS(Facturacion!$I$4:$I$724,Facturacion!$A$4:$A$724,$A7,Facturacion!$B$4:$B$724,J$2)</f>
        <v>0</v>
      </c>
      <c r="K7" s="5" t="n">
        <f aca="false">SUMIFS(Facturacion!$I$4:$I$724,Facturacion!$A$4:$A$724,$A7,Facturacion!$B$4:$B$724,K$2)</f>
        <v>293981</v>
      </c>
      <c r="L7" s="5" t="n">
        <f aca="false">SUMIFS(Facturacion!$I$4:$I$724,Facturacion!$A$4:$A$724,$A7,Facturacion!$B$4:$B$724,L$2)</f>
        <v>0</v>
      </c>
      <c r="M7" s="5" t="n">
        <f aca="false">SUMIFS(Facturacion!$I$4:$I$724,Facturacion!$A$4:$A$724,$A7,Facturacion!$B$4:$B$724,M$2)</f>
        <v>0</v>
      </c>
      <c r="N7" s="12" t="n">
        <f aca="false">SUM(B7:M7)</f>
        <v>1708672</v>
      </c>
    </row>
    <row r="8" customFormat="false" ht="15" hidden="false" customHeight="false" outlineLevel="0" collapsed="false">
      <c r="A8" s="4" t="n">
        <v>45323</v>
      </c>
      <c r="B8" s="5" t="n">
        <f aca="false">SUMIFS(Facturacion!$I$4:$I$724,Facturacion!$A$4:$A$724,$A8,Facturacion!$B$4:$B$724,B$2)</f>
        <v>760047</v>
      </c>
      <c r="C8" s="5" t="n">
        <f aca="false">SUMIFS(Facturacion!$I$4:$I$724,Facturacion!$A$4:$A$724,$A8,Facturacion!$B$4:$B$724,C$2)</f>
        <v>129065</v>
      </c>
      <c r="D8" s="5" t="n">
        <f aca="false">SUMIFS(Facturacion!$I$4:$I$724,Facturacion!$A$4:$A$724,$A8,Facturacion!$B$4:$B$724,D$2)</f>
        <v>39437</v>
      </c>
      <c r="E8" s="5" t="n">
        <f aca="false">SUMIFS(Facturacion!$I$4:$I$724,Facturacion!$A$4:$A$724,$A8,Facturacion!$B$4:$B$724,E$2)</f>
        <v>35852</v>
      </c>
      <c r="F8" s="5" t="n">
        <f aca="false">SUMIFS(Facturacion!$I$4:$I$724,Facturacion!$A$4:$A$724,$A8,Facturacion!$B$4:$B$724,F$2)</f>
        <v>215108</v>
      </c>
      <c r="G8" s="5" t="n">
        <f aca="false">SUMIFS(Facturacion!$I$4:$I$724,Facturacion!$A$4:$A$724,$A8,Facturacion!$B$4:$B$724,G$2)</f>
        <v>0</v>
      </c>
      <c r="H8" s="5" t="n">
        <f aca="false">SUMIFS(Facturacion!$I$4:$I$724,Facturacion!$A$4:$A$724,$A8,Facturacion!$B$4:$B$724,H$2)</f>
        <v>35852</v>
      </c>
      <c r="I8" s="5" t="n">
        <f aca="false">SUMIFS(Facturacion!$I$4:$I$724,Facturacion!$A$4:$A$724,$A8,Facturacion!$B$4:$B$724,I$2)</f>
        <v>43022</v>
      </c>
      <c r="J8" s="5" t="n">
        <f aca="false">SUMIFS(Facturacion!$I$4:$I$724,Facturacion!$A$4:$A$724,$A8,Facturacion!$B$4:$B$724,J$2)</f>
        <v>0</v>
      </c>
      <c r="K8" s="5" t="n">
        <f aca="false">SUMIFS(Facturacion!$I$4:$I$724,Facturacion!$A$4:$A$724,$A8,Facturacion!$B$4:$B$724,K$2)</f>
        <v>236619</v>
      </c>
      <c r="L8" s="5" t="n">
        <f aca="false">SUMIFS(Facturacion!$I$4:$I$724,Facturacion!$A$4:$A$724,$A8,Facturacion!$B$4:$B$724,L$2)</f>
        <v>28681</v>
      </c>
      <c r="M8" s="5" t="n">
        <f aca="false">SUMIFS(Facturacion!$I$4:$I$724,Facturacion!$A$4:$A$724,$A8,Facturacion!$B$4:$B$724,M$2)</f>
        <v>0</v>
      </c>
      <c r="N8" s="12" t="n">
        <f aca="false">SUM(B8:M8)</f>
        <v>1523683</v>
      </c>
    </row>
    <row r="9" customFormat="false" ht="15" hidden="false" customHeight="false" outlineLevel="0" collapsed="false">
      <c r="A9" s="4" t="n">
        <v>45352</v>
      </c>
      <c r="B9" s="5" t="n">
        <f aca="false">SUMIFS(Facturacion!$I$4:$I$724,Facturacion!$A$4:$A$724,$A9,Facturacion!$B$4:$B$724,B$2)</f>
        <v>717025</v>
      </c>
      <c r="C9" s="5" t="n">
        <f aca="false">SUMIFS(Facturacion!$I$4:$I$724,Facturacion!$A$4:$A$724,$A9,Facturacion!$B$4:$B$724,C$2)</f>
        <v>337002</v>
      </c>
      <c r="D9" s="5" t="n">
        <f aca="false">SUMIFS(Facturacion!$I$4:$I$724,Facturacion!$A$4:$A$724,$A9,Facturacion!$B$4:$B$724,D$2)</f>
        <v>23662</v>
      </c>
      <c r="E9" s="5" t="n">
        <f aca="false">SUMIFS(Facturacion!$I$4:$I$724,Facturacion!$A$4:$A$724,$A9,Facturacion!$B$4:$B$724,E$2)</f>
        <v>21511</v>
      </c>
      <c r="F9" s="5" t="n">
        <f aca="false">SUMIFS(Facturacion!$I$4:$I$724,Facturacion!$A$4:$A$724,$A9,Facturacion!$B$4:$B$724,F$2)</f>
        <v>172086</v>
      </c>
      <c r="G9" s="5" t="n">
        <f aca="false">SUMIFS(Facturacion!$I$4:$I$724,Facturacion!$A$4:$A$724,$A9,Facturacion!$B$4:$B$724,G$2)</f>
        <v>49475</v>
      </c>
      <c r="H9" s="5" t="n">
        <f aca="false">SUMIFS(Facturacion!$I$4:$I$724,Facturacion!$A$4:$A$724,$A9,Facturacion!$B$4:$B$724,H$2)</f>
        <v>64533</v>
      </c>
      <c r="I9" s="5" t="n">
        <f aca="false">SUMIFS(Facturacion!$I$4:$I$724,Facturacion!$A$4:$A$724,$A9,Facturacion!$B$4:$B$724,I$2)</f>
        <v>78873</v>
      </c>
      <c r="J9" s="5" t="n">
        <f aca="false">SUMIFS(Facturacion!$I$4:$I$724,Facturacion!$A$4:$A$724,$A9,Facturacion!$B$4:$B$724,J$2)</f>
        <v>110422</v>
      </c>
      <c r="K9" s="5" t="n">
        <f aca="false">SUMIFS(Facturacion!$I$4:$I$724,Facturacion!$A$4:$A$724,$A9,Facturacion!$B$4:$B$724,K$2)</f>
        <v>207938</v>
      </c>
      <c r="L9" s="5" t="n">
        <f aca="false">SUMIFS(Facturacion!$I$4:$I$724,Facturacion!$A$4:$A$724,$A9,Facturacion!$B$4:$B$724,L$2)</f>
        <v>43022</v>
      </c>
      <c r="M9" s="5" t="n">
        <f aca="false">SUMIFS(Facturacion!$I$4:$I$724,Facturacion!$A$4:$A$724,$A9,Facturacion!$B$4:$B$724,M$2)</f>
        <v>0</v>
      </c>
      <c r="N9" s="12" t="n">
        <f aca="false">SUM(B9:M9)</f>
        <v>1825549</v>
      </c>
    </row>
    <row r="10" customFormat="false" ht="15" hidden="false" customHeight="false" outlineLevel="0" collapsed="false">
      <c r="A10" s="4" t="n">
        <v>45383</v>
      </c>
      <c r="B10" s="5" t="n">
        <f aca="false">SUMIFS(Facturacion!$I$4:$I$724,Facturacion!$A$4:$A$724,$A10,Facturacion!$B$4:$B$724,B$2)</f>
        <v>674004</v>
      </c>
      <c r="C10" s="5" t="n">
        <f aca="false">SUMIFS(Facturacion!$I$4:$I$724,Facturacion!$A$4:$A$724,$A10,Facturacion!$B$4:$B$724,C$2)</f>
        <v>114724</v>
      </c>
      <c r="D10" s="5" t="n">
        <f aca="false">SUMIFS(Facturacion!$I$4:$I$724,Facturacion!$A$4:$A$724,$A10,Facturacion!$B$4:$B$724,D$2)</f>
        <v>23662</v>
      </c>
      <c r="E10" s="5" t="n">
        <f aca="false">SUMIFS(Facturacion!$I$4:$I$724,Facturacion!$A$4:$A$724,$A10,Facturacion!$B$4:$B$724,E$2)</f>
        <v>21511</v>
      </c>
      <c r="F10" s="5" t="n">
        <f aca="false">SUMIFS(Facturacion!$I$4:$I$724,Facturacion!$A$4:$A$724,$A10,Facturacion!$B$4:$B$724,F$2)</f>
        <v>186427</v>
      </c>
      <c r="G10" s="5" t="n">
        <f aca="false">SUMIFS(Facturacion!$I$4:$I$724,Facturacion!$A$4:$A$724,$A10,Facturacion!$B$4:$B$724,G$2)</f>
        <v>0</v>
      </c>
      <c r="H10" s="5" t="n">
        <f aca="false">SUMIFS(Facturacion!$I$4:$I$724,Facturacion!$A$4:$A$724,$A10,Facturacion!$B$4:$B$724,H$2)</f>
        <v>21511</v>
      </c>
      <c r="I10" s="5" t="n">
        <f aca="false">SUMIFS(Facturacion!$I$4:$I$724,Facturacion!$A$4:$A$724,$A10,Facturacion!$B$4:$B$724,I$2)</f>
        <v>28681</v>
      </c>
      <c r="J10" s="5" t="n">
        <f aca="false">SUMIFS(Facturacion!$I$4:$I$724,Facturacion!$A$4:$A$724,$A10,Facturacion!$B$4:$B$724,J$2)</f>
        <v>0</v>
      </c>
      <c r="K10" s="5" t="n">
        <f aca="false">SUMIFS(Facturacion!$I$4:$I$724,Facturacion!$A$4:$A$724,$A10,Facturacion!$B$4:$B$724,K$2)</f>
        <v>265300</v>
      </c>
      <c r="L10" s="5" t="n">
        <f aca="false">SUMIFS(Facturacion!$I$4:$I$724,Facturacion!$A$4:$A$724,$A10,Facturacion!$B$4:$B$724,L$2)</f>
        <v>0</v>
      </c>
      <c r="M10" s="5" t="n">
        <f aca="false">SUMIFS(Facturacion!$I$4:$I$724,Facturacion!$A$4:$A$724,$A10,Facturacion!$B$4:$B$724,M$2)</f>
        <v>0</v>
      </c>
      <c r="N10" s="12" t="n">
        <f aca="false">SUM(B10:M10)</f>
        <v>1335820</v>
      </c>
    </row>
    <row r="11" customFormat="false" ht="15" hidden="false" customHeight="false" outlineLevel="0" collapsed="false">
      <c r="A11" s="4" t="n">
        <v>45413</v>
      </c>
      <c r="B11" s="5" t="n">
        <f aca="false">SUMIFS(Facturacion!$I$4:$I$724,Facturacion!$A$4:$A$724,$A11,Facturacion!$B$4:$B$724,B$2)</f>
        <v>745706</v>
      </c>
      <c r="C11" s="5" t="n">
        <f aca="false">SUMIFS(Facturacion!$I$4:$I$724,Facturacion!$A$4:$A$724,$A11,Facturacion!$B$4:$B$724,C$2)</f>
        <v>121894</v>
      </c>
      <c r="D11" s="5" t="n">
        <f aca="false">SUMIFS(Facturacion!$I$4:$I$724,Facturacion!$A$4:$A$724,$A11,Facturacion!$B$4:$B$724,D$2)</f>
        <v>55211</v>
      </c>
      <c r="E11" s="5" t="n">
        <f aca="false">SUMIFS(Facturacion!$I$4:$I$724,Facturacion!$A$4:$A$724,$A11,Facturacion!$B$4:$B$724,E$2)</f>
        <v>21511</v>
      </c>
      <c r="F11" s="5" t="n">
        <f aca="false">SUMIFS(Facturacion!$I$4:$I$724,Facturacion!$A$4:$A$724,$A11,Facturacion!$B$4:$B$724,F$2)</f>
        <v>186427</v>
      </c>
      <c r="G11" s="5" t="n">
        <f aca="false">SUMIFS(Facturacion!$I$4:$I$724,Facturacion!$A$4:$A$724,$A11,Facturacion!$B$4:$B$724,G$2)</f>
        <v>0</v>
      </c>
      <c r="H11" s="5" t="n">
        <f aca="false">SUMIFS(Facturacion!$I$4:$I$724,Facturacion!$A$4:$A$724,$A11,Facturacion!$B$4:$B$724,H$2)</f>
        <v>107554</v>
      </c>
      <c r="I11" s="5" t="n">
        <f aca="false">SUMIFS(Facturacion!$I$4:$I$724,Facturacion!$A$4:$A$724,$A11,Facturacion!$B$4:$B$724,I$2)</f>
        <v>28681</v>
      </c>
      <c r="J11" s="5" t="n">
        <f aca="false">SUMIFS(Facturacion!$I$4:$I$724,Facturacion!$A$4:$A$724,$A11,Facturacion!$B$4:$B$724,J$2)</f>
        <v>0</v>
      </c>
      <c r="K11" s="5" t="n">
        <f aca="false">SUMIFS(Facturacion!$I$4:$I$724,Facturacion!$A$4:$A$724,$A11,Facturacion!$B$4:$B$724,K$2)</f>
        <v>222278</v>
      </c>
      <c r="L11" s="5" t="n">
        <f aca="false">SUMIFS(Facturacion!$I$4:$I$724,Facturacion!$A$4:$A$724,$A11,Facturacion!$B$4:$B$724,L$2)</f>
        <v>0</v>
      </c>
      <c r="M11" s="5" t="n">
        <f aca="false">SUMIFS(Facturacion!$I$4:$I$724,Facturacion!$A$4:$A$724,$A11,Facturacion!$B$4:$B$724,M$2)</f>
        <v>0</v>
      </c>
      <c r="N11" s="12" t="n">
        <f aca="false">SUM(B11:M11)</f>
        <v>1489262</v>
      </c>
    </row>
    <row r="12" customFormat="false" ht="15" hidden="false" customHeight="false" outlineLevel="0" collapsed="false">
      <c r="A12" s="4" t="n">
        <v>45444</v>
      </c>
      <c r="B12" s="5" t="n">
        <f aca="false">SUMIFS(Facturacion!$I$4:$I$724,Facturacion!$A$4:$A$724,$A12,Facturacion!$B$4:$B$724,B$2)</f>
        <v>688344</v>
      </c>
      <c r="C12" s="5" t="n">
        <f aca="false">SUMIFS(Facturacion!$I$4:$I$724,Facturacion!$A$4:$A$724,$A12,Facturacion!$B$4:$B$724,C$2)</f>
        <v>114724</v>
      </c>
      <c r="D12" s="5" t="n">
        <f aca="false">SUMIFS(Facturacion!$I$4:$I$724,Facturacion!$A$4:$A$724,$A12,Facturacion!$B$4:$B$724,D$2)</f>
        <v>23662</v>
      </c>
      <c r="E12" s="5" t="n">
        <f aca="false">SUMIFS(Facturacion!$I$4:$I$724,Facturacion!$A$4:$A$724,$A12,Facturacion!$B$4:$B$724,E$2)</f>
        <v>21511</v>
      </c>
      <c r="F12" s="5" t="n">
        <f aca="false">SUMIFS(Facturacion!$I$4:$I$724,Facturacion!$A$4:$A$724,$A12,Facturacion!$B$4:$B$724,F$2)</f>
        <v>186427</v>
      </c>
      <c r="G12" s="5" t="n">
        <f aca="false">SUMIFS(Facturacion!$I$4:$I$724,Facturacion!$A$4:$A$724,$A12,Facturacion!$B$4:$B$724,G$2)</f>
        <v>0</v>
      </c>
      <c r="H12" s="5" t="n">
        <f aca="false">SUMIFS(Facturacion!$I$4:$I$724,Facturacion!$A$4:$A$724,$A12,Facturacion!$B$4:$B$724,H$2)</f>
        <v>21511</v>
      </c>
      <c r="I12" s="5" t="n">
        <f aca="false">SUMIFS(Facturacion!$I$4:$I$724,Facturacion!$A$4:$A$724,$A12,Facturacion!$B$4:$B$724,I$2)</f>
        <v>28681</v>
      </c>
      <c r="J12" s="5" t="n">
        <f aca="false">SUMIFS(Facturacion!$I$4:$I$724,Facturacion!$A$4:$A$724,$A12,Facturacion!$B$4:$B$724,J$2)</f>
        <v>0</v>
      </c>
      <c r="K12" s="5" t="n">
        <f aca="false">SUMIFS(Facturacion!$I$4:$I$724,Facturacion!$A$4:$A$724,$A12,Facturacion!$B$4:$B$724,K$2)</f>
        <v>222278</v>
      </c>
      <c r="L12" s="5" t="n">
        <f aca="false">SUMIFS(Facturacion!$I$4:$I$724,Facturacion!$A$4:$A$724,$A12,Facturacion!$B$4:$B$724,L$2)</f>
        <v>0</v>
      </c>
      <c r="M12" s="5" t="n">
        <f aca="false">SUMIFS(Facturacion!$I$4:$I$724,Facturacion!$A$4:$A$724,$A12,Facturacion!$B$4:$B$724,M$2)</f>
        <v>0</v>
      </c>
      <c r="N12" s="12" t="n">
        <f aca="false">SUM(B12:M12)</f>
        <v>1307138</v>
      </c>
    </row>
    <row r="13" customFormat="false" ht="15" hidden="false" customHeight="false" outlineLevel="0" collapsed="false">
      <c r="A13" s="4" t="n">
        <v>45474</v>
      </c>
      <c r="B13" s="5" t="n">
        <f aca="false">SUMIFS(Facturacion!$I$4:$I$724,Facturacion!$A$4:$A$724,$A13,Facturacion!$B$4:$B$724,B$2)</f>
        <v>989495</v>
      </c>
      <c r="C13" s="5" t="n">
        <f aca="false">SUMIFS(Facturacion!$I$4:$I$724,Facturacion!$A$4:$A$724,$A13,Facturacion!$B$4:$B$724,C$2)</f>
        <v>121894</v>
      </c>
      <c r="D13" s="5" t="n">
        <f aca="false">SUMIFS(Facturacion!$I$4:$I$724,Facturacion!$A$4:$A$724,$A13,Facturacion!$B$4:$B$724,D$2)</f>
        <v>23662</v>
      </c>
      <c r="E13" s="5" t="n">
        <f aca="false">SUMIFS(Facturacion!$I$4:$I$724,Facturacion!$A$4:$A$724,$A13,Facturacion!$B$4:$B$724,E$2)</f>
        <v>21511</v>
      </c>
      <c r="F13" s="5" t="n">
        <f aca="false">SUMIFS(Facturacion!$I$4:$I$724,Facturacion!$A$4:$A$724,$A13,Facturacion!$B$4:$B$724,F$2)</f>
        <v>200767</v>
      </c>
      <c r="G13" s="5" t="n">
        <f aca="false">SUMIFS(Facturacion!$I$4:$I$724,Facturacion!$A$4:$A$724,$A13,Facturacion!$B$4:$B$724,G$2)</f>
        <v>32983</v>
      </c>
      <c r="H13" s="5" t="n">
        <f aca="false">SUMIFS(Facturacion!$I$4:$I$724,Facturacion!$A$4:$A$724,$A13,Facturacion!$B$4:$B$724,H$2)</f>
        <v>21511</v>
      </c>
      <c r="I13" s="5" t="n">
        <f aca="false">SUMIFS(Facturacion!$I$4:$I$724,Facturacion!$A$4:$A$724,$A13,Facturacion!$B$4:$B$724,I$2)</f>
        <v>28681</v>
      </c>
      <c r="J13" s="5" t="n">
        <f aca="false">SUMIFS(Facturacion!$I$4:$I$724,Facturacion!$A$4:$A$724,$A13,Facturacion!$B$4:$B$724,J$2)</f>
        <v>0</v>
      </c>
      <c r="K13" s="5" t="n">
        <f aca="false">SUMIFS(Facturacion!$I$4:$I$724,Facturacion!$A$4:$A$724,$A13,Facturacion!$B$4:$B$724,K$2)</f>
        <v>207938</v>
      </c>
      <c r="L13" s="5" t="n">
        <f aca="false">SUMIFS(Facturacion!$I$4:$I$724,Facturacion!$A$4:$A$724,$A13,Facturacion!$B$4:$B$724,L$2)</f>
        <v>0</v>
      </c>
      <c r="M13" s="5" t="n">
        <f aca="false">SUMIFS(Facturacion!$I$4:$I$724,Facturacion!$A$4:$A$724,$A13,Facturacion!$B$4:$B$724,M$2)</f>
        <v>0</v>
      </c>
      <c r="N13" s="12" t="n">
        <f aca="false">SUM(B13:M13)</f>
        <v>1648442</v>
      </c>
    </row>
    <row r="14" customFormat="false" ht="15" hidden="false" customHeight="false" outlineLevel="0" collapsed="false">
      <c r="A14" s="4" t="n">
        <v>45505</v>
      </c>
      <c r="B14" s="5" t="n">
        <f aca="false">SUMIFS(Facturacion!$I$4:$I$724,Facturacion!$A$4:$A$724,$A14,Facturacion!$B$4:$B$724,B$2)</f>
        <v>731366</v>
      </c>
      <c r="C14" s="5" t="n">
        <f aca="false">SUMIFS(Facturacion!$I$4:$I$724,Facturacion!$A$4:$A$724,$A14,Facturacion!$B$4:$B$724,C$2)</f>
        <v>121894</v>
      </c>
      <c r="D14" s="5" t="n">
        <f aca="false">SUMIFS(Facturacion!$I$4:$I$724,Facturacion!$A$4:$A$724,$A14,Facturacion!$B$4:$B$724,D$2)</f>
        <v>23662</v>
      </c>
      <c r="E14" s="5" t="n">
        <f aca="false">SUMIFS(Facturacion!$I$4:$I$724,Facturacion!$A$4:$A$724,$A14,Facturacion!$B$4:$B$724,E$2)</f>
        <v>21511</v>
      </c>
      <c r="F14" s="5" t="n">
        <f aca="false">SUMIFS(Facturacion!$I$4:$I$724,Facturacion!$A$4:$A$724,$A14,Facturacion!$B$4:$B$724,F$2)</f>
        <v>186427</v>
      </c>
      <c r="G14" s="5" t="n">
        <f aca="false">SUMIFS(Facturacion!$I$4:$I$724,Facturacion!$A$4:$A$724,$A14,Facturacion!$B$4:$B$724,G$2)</f>
        <v>0</v>
      </c>
      <c r="H14" s="5" t="n">
        <f aca="false">SUMIFS(Facturacion!$I$4:$I$724,Facturacion!$A$4:$A$724,$A14,Facturacion!$B$4:$B$724,H$2)</f>
        <v>21511</v>
      </c>
      <c r="I14" s="5" t="n">
        <f aca="false">SUMIFS(Facturacion!$I$4:$I$724,Facturacion!$A$4:$A$724,$A14,Facturacion!$B$4:$B$724,I$2)</f>
        <v>28681</v>
      </c>
      <c r="J14" s="5" t="n">
        <f aca="false">SUMIFS(Facturacion!$I$4:$I$724,Facturacion!$A$4:$A$724,$A14,Facturacion!$B$4:$B$724,J$2)</f>
        <v>0</v>
      </c>
      <c r="K14" s="5" t="n">
        <f aca="false">SUMIFS(Facturacion!$I$4:$I$724,Facturacion!$A$4:$A$724,$A14,Facturacion!$B$4:$B$724,K$2)</f>
        <v>207938</v>
      </c>
      <c r="L14" s="5" t="n">
        <f aca="false">SUMIFS(Facturacion!$I$4:$I$724,Facturacion!$A$4:$A$724,$A14,Facturacion!$B$4:$B$724,L$2)</f>
        <v>0</v>
      </c>
      <c r="M14" s="5" t="n">
        <f aca="false">SUMIFS(Facturacion!$I$4:$I$724,Facturacion!$A$4:$A$724,$A14,Facturacion!$B$4:$B$724,M$2)</f>
        <v>0</v>
      </c>
      <c r="N14" s="12" t="n">
        <f aca="false">SUM(B14:M14)</f>
        <v>1342990</v>
      </c>
    </row>
    <row r="15" customFormat="false" ht="15" hidden="false" customHeight="false" outlineLevel="0" collapsed="false">
      <c r="A15" s="4" t="n">
        <v>45536</v>
      </c>
      <c r="B15" s="5" t="n">
        <f aca="false">SUMIFS(Facturacion!$I$4:$I$724,Facturacion!$A$4:$A$724,$A15,Facturacion!$B$4:$B$724,B$2)</f>
        <v>688344</v>
      </c>
      <c r="C15" s="5" t="n">
        <f aca="false">SUMIFS(Facturacion!$I$4:$I$724,Facturacion!$A$4:$A$724,$A15,Facturacion!$B$4:$B$724,C$2)</f>
        <v>114724</v>
      </c>
      <c r="D15" s="5" t="n">
        <f aca="false">SUMIFS(Facturacion!$I$4:$I$724,Facturacion!$A$4:$A$724,$A15,Facturacion!$B$4:$B$724,D$2)</f>
        <v>23662</v>
      </c>
      <c r="E15" s="5" t="n">
        <f aca="false">SUMIFS(Facturacion!$I$4:$I$724,Facturacion!$A$4:$A$724,$A15,Facturacion!$B$4:$B$724,E$2)</f>
        <v>21511</v>
      </c>
      <c r="F15" s="5" t="n">
        <f aca="false">SUMIFS(Facturacion!$I$4:$I$724,Facturacion!$A$4:$A$724,$A15,Facturacion!$B$4:$B$724,F$2)</f>
        <v>186427</v>
      </c>
      <c r="G15" s="5" t="n">
        <f aca="false">SUMIFS(Facturacion!$I$4:$I$724,Facturacion!$A$4:$A$724,$A15,Facturacion!$B$4:$B$724,G$2)</f>
        <v>0</v>
      </c>
      <c r="H15" s="5" t="n">
        <f aca="false">SUMIFS(Facturacion!$I$4:$I$724,Facturacion!$A$4:$A$724,$A15,Facturacion!$B$4:$B$724,H$2)</f>
        <v>21511</v>
      </c>
      <c r="I15" s="5" t="n">
        <f aca="false">SUMIFS(Facturacion!$I$4:$I$724,Facturacion!$A$4:$A$724,$A15,Facturacion!$B$4:$B$724,I$2)</f>
        <v>28681</v>
      </c>
      <c r="J15" s="5" t="n">
        <f aca="false">SUMIFS(Facturacion!$I$4:$I$724,Facturacion!$A$4:$A$724,$A15,Facturacion!$B$4:$B$724,J$2)</f>
        <v>0</v>
      </c>
      <c r="K15" s="5" t="n">
        <f aca="false">SUMIFS(Facturacion!$I$4:$I$724,Facturacion!$A$4:$A$724,$A15,Facturacion!$B$4:$B$724,K$2)</f>
        <v>222278</v>
      </c>
      <c r="L15" s="5" t="n">
        <f aca="false">SUMIFS(Facturacion!$I$4:$I$724,Facturacion!$A$4:$A$724,$A15,Facturacion!$B$4:$B$724,L$2)</f>
        <v>0</v>
      </c>
      <c r="M15" s="5" t="n">
        <f aca="false">SUMIFS(Facturacion!$I$4:$I$724,Facturacion!$A$4:$A$724,$A15,Facturacion!$B$4:$B$724,M$2)</f>
        <v>0</v>
      </c>
      <c r="N15" s="12" t="n">
        <f aca="false">SUM(B15:M15)</f>
        <v>1307138</v>
      </c>
    </row>
    <row r="16" customFormat="false" ht="15" hidden="false" customHeight="false" outlineLevel="0" collapsed="false">
      <c r="A16" s="4" t="n">
        <v>45566</v>
      </c>
      <c r="B16" s="5" t="n">
        <f aca="false">SUMIFS(Facturacion!$I$4:$I$724,Facturacion!$A$4:$A$724,$A16,Facturacion!$B$4:$B$724,B$2)</f>
        <v>702685</v>
      </c>
      <c r="C16" s="5" t="n">
        <f aca="false">SUMIFS(Facturacion!$I$4:$I$724,Facturacion!$A$4:$A$724,$A16,Facturacion!$B$4:$B$724,C$2)</f>
        <v>129065</v>
      </c>
      <c r="D16" s="5" t="n">
        <f aca="false">SUMIFS(Facturacion!$I$4:$I$724,Facturacion!$A$4:$A$724,$A16,Facturacion!$B$4:$B$724,D$2)</f>
        <v>23662</v>
      </c>
      <c r="E16" s="5" t="n">
        <f aca="false">SUMIFS(Facturacion!$I$4:$I$724,Facturacion!$A$4:$A$724,$A16,Facturacion!$B$4:$B$724,E$2)</f>
        <v>78873</v>
      </c>
      <c r="F16" s="5" t="n">
        <f aca="false">SUMIFS(Facturacion!$I$4:$I$724,Facturacion!$A$4:$A$724,$A16,Facturacion!$B$4:$B$724,F$2)</f>
        <v>200767</v>
      </c>
      <c r="G16" s="5" t="n">
        <f aca="false">SUMIFS(Facturacion!$I$4:$I$724,Facturacion!$A$4:$A$724,$A16,Facturacion!$B$4:$B$724,G$2)</f>
        <v>0</v>
      </c>
      <c r="H16" s="5" t="n">
        <f aca="false">SUMIFS(Facturacion!$I$4:$I$724,Facturacion!$A$4:$A$724,$A16,Facturacion!$B$4:$B$724,H$2)</f>
        <v>21511</v>
      </c>
      <c r="I16" s="5" t="n">
        <f aca="false">SUMIFS(Facturacion!$I$4:$I$724,Facturacion!$A$4:$A$724,$A16,Facturacion!$B$4:$B$724,I$2)</f>
        <v>28681</v>
      </c>
      <c r="J16" s="5" t="n">
        <f aca="false">SUMIFS(Facturacion!$I$4:$I$724,Facturacion!$A$4:$A$724,$A16,Facturacion!$B$4:$B$724,J$2)</f>
        <v>0</v>
      </c>
      <c r="K16" s="5" t="n">
        <f aca="false">SUMIFS(Facturacion!$I$4:$I$724,Facturacion!$A$4:$A$724,$A16,Facturacion!$B$4:$B$724,K$2)</f>
        <v>207938</v>
      </c>
      <c r="L16" s="5" t="n">
        <f aca="false">SUMIFS(Facturacion!$I$4:$I$724,Facturacion!$A$4:$A$724,$A16,Facturacion!$B$4:$B$724,L$2)</f>
        <v>0</v>
      </c>
      <c r="M16" s="5" t="n">
        <f aca="false">SUMIFS(Facturacion!$I$4:$I$724,Facturacion!$A$4:$A$724,$A16,Facturacion!$B$4:$B$724,M$2)</f>
        <v>0</v>
      </c>
      <c r="N16" s="12" t="n">
        <f aca="false">SUM(B16:M16)</f>
        <v>1393182</v>
      </c>
    </row>
    <row r="17" customFormat="false" ht="15" hidden="false" customHeight="false" outlineLevel="0" collapsed="false">
      <c r="A17" s="4" t="n">
        <v>45597</v>
      </c>
      <c r="B17" s="5" t="n">
        <f aca="false">SUMIFS(Facturacion!$I$4:$I$724,Facturacion!$A$4:$A$724,$A17,Facturacion!$B$4:$B$724,B$2)</f>
        <v>760047</v>
      </c>
      <c r="C17" s="5" t="n">
        <f aca="false">SUMIFS(Facturacion!$I$4:$I$724,Facturacion!$A$4:$A$724,$A17,Facturacion!$B$4:$B$724,C$2)</f>
        <v>121894</v>
      </c>
      <c r="D17" s="5" t="n">
        <f aca="false">SUMIFS(Facturacion!$I$4:$I$724,Facturacion!$A$4:$A$724,$A17,Facturacion!$B$4:$B$724,D$2)</f>
        <v>23662</v>
      </c>
      <c r="E17" s="5" t="n">
        <f aca="false">SUMIFS(Facturacion!$I$4:$I$724,Facturacion!$A$4:$A$724,$A17,Facturacion!$B$4:$B$724,E$2)</f>
        <v>21511</v>
      </c>
      <c r="F17" s="5" t="n">
        <f aca="false">SUMIFS(Facturacion!$I$4:$I$724,Facturacion!$A$4:$A$724,$A17,Facturacion!$B$4:$B$724,F$2)</f>
        <v>200767</v>
      </c>
      <c r="G17" s="5" t="n">
        <f aca="false">SUMIFS(Facturacion!$I$4:$I$724,Facturacion!$A$4:$A$724,$A17,Facturacion!$B$4:$B$724,G$2)</f>
        <v>0</v>
      </c>
      <c r="H17" s="5" t="n">
        <f aca="false">SUMIFS(Facturacion!$I$4:$I$724,Facturacion!$A$4:$A$724,$A17,Facturacion!$B$4:$B$724,H$2)</f>
        <v>21511</v>
      </c>
      <c r="I17" s="5" t="n">
        <f aca="false">SUMIFS(Facturacion!$I$4:$I$724,Facturacion!$A$4:$A$724,$A17,Facturacion!$B$4:$B$724,I$2)</f>
        <v>28681</v>
      </c>
      <c r="J17" s="5" t="n">
        <f aca="false">SUMIFS(Facturacion!$I$4:$I$724,Facturacion!$A$4:$A$724,$A17,Facturacion!$B$4:$B$724,J$2)</f>
        <v>0</v>
      </c>
      <c r="K17" s="5" t="n">
        <f aca="false">SUMIFS(Facturacion!$I$4:$I$724,Facturacion!$A$4:$A$724,$A17,Facturacion!$B$4:$B$724,K$2)</f>
        <v>207938</v>
      </c>
      <c r="L17" s="5" t="n">
        <f aca="false">SUMIFS(Facturacion!$I$4:$I$724,Facturacion!$A$4:$A$724,$A17,Facturacion!$B$4:$B$724,L$2)</f>
        <v>0</v>
      </c>
      <c r="M17" s="5" t="n">
        <f aca="false">SUMIFS(Facturacion!$I$4:$I$724,Facturacion!$A$4:$A$724,$A17,Facturacion!$B$4:$B$724,M$2)</f>
        <v>0</v>
      </c>
      <c r="N17" s="12" t="n">
        <f aca="false">SUM(B17:M17)</f>
        <v>1386011</v>
      </c>
    </row>
    <row r="18" customFormat="false" ht="15" hidden="false" customHeight="false" outlineLevel="0" collapsed="false">
      <c r="A18" s="4" t="n">
        <v>45627</v>
      </c>
      <c r="B18" s="5" t="n">
        <f aca="false">SUMIFS(Facturacion!$I$4:$I$724,Facturacion!$A$4:$A$724,$A18,Facturacion!$B$4:$B$724,B$2)</f>
        <v>946474</v>
      </c>
      <c r="C18" s="5" t="n">
        <f aca="false">SUMIFS(Facturacion!$I$4:$I$724,Facturacion!$A$4:$A$724,$A18,Facturacion!$B$4:$B$724,C$2)</f>
        <v>121894</v>
      </c>
      <c r="D18" s="5" t="n">
        <f aca="false">SUMIFS(Facturacion!$I$4:$I$724,Facturacion!$A$4:$A$724,$A18,Facturacion!$B$4:$B$724,D$2)</f>
        <v>173520</v>
      </c>
      <c r="E18" s="5" t="n">
        <f aca="false">SUMIFS(Facturacion!$I$4:$I$724,Facturacion!$A$4:$A$724,$A18,Facturacion!$B$4:$B$724,E$2)</f>
        <v>64533</v>
      </c>
      <c r="F18" s="5" t="n">
        <f aca="false">SUMIFS(Facturacion!$I$4:$I$724,Facturacion!$A$4:$A$724,$A18,Facturacion!$B$4:$B$724,F$2)</f>
        <v>250959</v>
      </c>
      <c r="G18" s="5" t="n">
        <f aca="false">SUMIFS(Facturacion!$I$4:$I$724,Facturacion!$A$4:$A$724,$A18,Facturacion!$B$4:$B$724,G$2)</f>
        <v>0</v>
      </c>
      <c r="H18" s="5" t="n">
        <f aca="false">SUMIFS(Facturacion!$I$4:$I$724,Facturacion!$A$4:$A$724,$A18,Facturacion!$B$4:$B$724,H$2)</f>
        <v>21511</v>
      </c>
      <c r="I18" s="5" t="n">
        <f aca="false">SUMIFS(Facturacion!$I$4:$I$724,Facturacion!$A$4:$A$724,$A18,Facturacion!$B$4:$B$724,I$2)</f>
        <v>28681</v>
      </c>
      <c r="J18" s="5" t="n">
        <f aca="false">SUMIFS(Facturacion!$I$4:$I$724,Facturacion!$A$4:$A$724,$A18,Facturacion!$B$4:$B$724,J$2)</f>
        <v>0</v>
      </c>
      <c r="K18" s="5" t="n">
        <f aca="false">SUMIFS(Facturacion!$I$4:$I$724,Facturacion!$A$4:$A$724,$A18,Facturacion!$B$4:$B$724,K$2)</f>
        <v>258130</v>
      </c>
      <c r="L18" s="5" t="n">
        <f aca="false">SUMIFS(Facturacion!$I$4:$I$724,Facturacion!$A$4:$A$724,$A18,Facturacion!$B$4:$B$724,L$2)</f>
        <v>0</v>
      </c>
      <c r="M18" s="5" t="n">
        <f aca="false">SUMIFS(Facturacion!$I$4:$I$724,Facturacion!$A$4:$A$724,$A18,Facturacion!$B$4:$B$724,M$2)</f>
        <v>0</v>
      </c>
      <c r="N18" s="12" t="n">
        <f aca="false">SUM(B18:M18)</f>
        <v>1865702</v>
      </c>
    </row>
    <row r="19" customFormat="false" ht="15" hidden="false" customHeight="false" outlineLevel="0" collapsed="false">
      <c r="A19" s="4" t="n">
        <v>45658</v>
      </c>
      <c r="B19" s="5" t="n">
        <f aca="false">SUMIFS(Facturacion!$I$4:$I$724,Facturacion!$A$4:$A$724,$A19,Facturacion!$B$4:$B$724,B$2)</f>
        <v>817409</v>
      </c>
      <c r="C19" s="5" t="n">
        <f aca="false">SUMIFS(Facturacion!$I$4:$I$724,Facturacion!$A$4:$A$724,$A19,Facturacion!$B$4:$B$724,C$2)</f>
        <v>143405</v>
      </c>
      <c r="D19" s="5" t="n">
        <f aca="false">SUMIFS(Facturacion!$I$4:$I$724,Facturacion!$A$4:$A$724,$A19,Facturacion!$B$4:$B$724,D$2)</f>
        <v>23662</v>
      </c>
      <c r="E19" s="5" t="n">
        <f aca="false">SUMIFS(Facturacion!$I$4:$I$724,Facturacion!$A$4:$A$724,$A19,Facturacion!$B$4:$B$724,E$2)</f>
        <v>21511</v>
      </c>
      <c r="F19" s="5" t="n">
        <f aca="false">SUMIFS(Facturacion!$I$4:$I$724,Facturacion!$A$4:$A$724,$A19,Facturacion!$B$4:$B$724,F$2)</f>
        <v>415875</v>
      </c>
      <c r="G19" s="5" t="n">
        <f aca="false">SUMIFS(Facturacion!$I$4:$I$724,Facturacion!$A$4:$A$724,$A19,Facturacion!$B$4:$B$724,G$2)</f>
        <v>0</v>
      </c>
      <c r="H19" s="5" t="n">
        <f aca="false">SUMIFS(Facturacion!$I$4:$I$724,Facturacion!$A$4:$A$724,$A19,Facturacion!$B$4:$B$724,H$2)</f>
        <v>21511</v>
      </c>
      <c r="I19" s="5" t="n">
        <f aca="false">SUMIFS(Facturacion!$I$4:$I$724,Facturacion!$A$4:$A$724,$A19,Facturacion!$B$4:$B$724,I$2)</f>
        <v>28681</v>
      </c>
      <c r="J19" s="5" t="n">
        <f aca="false">SUMIFS(Facturacion!$I$4:$I$724,Facturacion!$A$4:$A$724,$A19,Facturacion!$B$4:$B$724,J$2)</f>
        <v>0</v>
      </c>
      <c r="K19" s="5" t="n">
        <f aca="false">SUMIFS(Facturacion!$I$4:$I$724,Facturacion!$A$4:$A$724,$A19,Facturacion!$B$4:$B$724,K$2)</f>
        <v>265300</v>
      </c>
      <c r="L19" s="5" t="n">
        <f aca="false">SUMIFS(Facturacion!$I$4:$I$724,Facturacion!$A$4:$A$724,$A19,Facturacion!$B$4:$B$724,L$2)</f>
        <v>0</v>
      </c>
      <c r="M19" s="5" t="n">
        <f aca="false">SUMIFS(Facturacion!$I$4:$I$724,Facturacion!$A$4:$A$724,$A19,Facturacion!$B$4:$B$724,M$2)</f>
        <v>0</v>
      </c>
      <c r="N19" s="12" t="n">
        <f aca="false">SUM(B19:M19)</f>
        <v>1737354</v>
      </c>
    </row>
    <row r="20" customFormat="false" ht="15" hidden="false" customHeight="false" outlineLevel="0" collapsed="false">
      <c r="A20" s="4" t="n">
        <v>45689</v>
      </c>
      <c r="B20" s="5" t="n">
        <f aca="false">SUMIFS(Facturacion!$I$4:$I$724,Facturacion!$A$4:$A$724,$A20,Facturacion!$B$4:$B$724,B$2)</f>
        <v>745707</v>
      </c>
      <c r="C20" s="5" t="n">
        <f aca="false">SUMIFS(Facturacion!$I$4:$I$724,Facturacion!$A$4:$A$724,$A20,Facturacion!$B$4:$B$724,C$2)</f>
        <v>136235</v>
      </c>
      <c r="D20" s="5" t="n">
        <f aca="false">SUMIFS(Facturacion!$I$4:$I$724,Facturacion!$A$4:$A$724,$A20,Facturacion!$B$4:$B$724,D$2)</f>
        <v>86761</v>
      </c>
      <c r="E20" s="5" t="n">
        <f aca="false">SUMIFS(Facturacion!$I$4:$I$724,Facturacion!$A$4:$A$724,$A20,Facturacion!$B$4:$B$724,E$2)</f>
        <v>35852</v>
      </c>
      <c r="F20" s="5" t="n">
        <f aca="false">SUMIFS(Facturacion!$I$4:$I$724,Facturacion!$A$4:$A$724,$A20,Facturacion!$B$4:$B$724,F$2)</f>
        <v>200768</v>
      </c>
      <c r="G20" s="5" t="n">
        <f aca="false">SUMIFS(Facturacion!$I$4:$I$724,Facturacion!$A$4:$A$724,$A20,Facturacion!$B$4:$B$724,G$2)</f>
        <v>0</v>
      </c>
      <c r="H20" s="5" t="n">
        <f aca="false">SUMIFS(Facturacion!$I$4:$I$724,Facturacion!$A$4:$A$724,$A20,Facturacion!$B$4:$B$724,H$2)</f>
        <v>35852</v>
      </c>
      <c r="I20" s="5" t="n">
        <f aca="false">SUMIFS(Facturacion!$I$4:$I$724,Facturacion!$A$4:$A$724,$A20,Facturacion!$B$4:$B$724,I$2)</f>
        <v>43022</v>
      </c>
      <c r="J20" s="5" t="n">
        <f aca="false">SUMIFS(Facturacion!$I$4:$I$724,Facturacion!$A$4:$A$724,$A20,Facturacion!$B$4:$B$724,J$2)</f>
        <v>0</v>
      </c>
      <c r="K20" s="5" t="n">
        <f aca="false">SUMIFS(Facturacion!$I$4:$I$724,Facturacion!$A$4:$A$724,$A20,Facturacion!$B$4:$B$724,K$2)</f>
        <v>222279</v>
      </c>
      <c r="L20" s="5" t="n">
        <f aca="false">SUMIFS(Facturacion!$I$4:$I$724,Facturacion!$A$4:$A$724,$A20,Facturacion!$B$4:$B$724,L$2)</f>
        <v>0</v>
      </c>
      <c r="M20" s="5" t="n">
        <f aca="false">SUMIFS(Facturacion!$I$4:$I$724,Facturacion!$A$4:$A$724,$A20,Facturacion!$B$4:$B$724,M$2)</f>
        <v>90345</v>
      </c>
      <c r="N20" s="12" t="n">
        <f aca="false">SUM(B20:M20)</f>
        <v>1596821</v>
      </c>
    </row>
    <row r="21" customFormat="false" ht="15" hidden="false" customHeight="false" outlineLevel="0" collapsed="false">
      <c r="A21" s="4" t="n">
        <v>45717</v>
      </c>
      <c r="B21" s="5" t="n">
        <f aca="false">SUMIFS(Facturacion!$I$4:$I$724,Facturacion!$A$4:$A$724,$A21,Facturacion!$B$4:$B$724,B$2)</f>
        <v>717025</v>
      </c>
      <c r="C21" s="5" t="n">
        <f aca="false">SUMIFS(Facturacion!$I$4:$I$724,Facturacion!$A$4:$A$724,$A21,Facturacion!$B$4:$B$724,C$2)</f>
        <v>387194</v>
      </c>
      <c r="D21" s="5" t="n">
        <f aca="false">SUMIFS(Facturacion!$I$4:$I$724,Facturacion!$A$4:$A$724,$A21,Facturacion!$B$4:$B$724,D$2)</f>
        <v>23662</v>
      </c>
      <c r="E21" s="5" t="n">
        <f aca="false">SUMIFS(Facturacion!$I$4:$I$724,Facturacion!$A$4:$A$724,$A21,Facturacion!$B$4:$B$724,E$2)</f>
        <v>21511</v>
      </c>
      <c r="F21" s="5" t="n">
        <f aca="false">SUMIFS(Facturacion!$I$4:$I$724,Facturacion!$A$4:$A$724,$A21,Facturacion!$B$4:$B$724,F$2)</f>
        <v>186427</v>
      </c>
      <c r="G21" s="5" t="n">
        <f aca="false">SUMIFS(Facturacion!$I$4:$I$724,Facturacion!$A$4:$A$724,$A21,Facturacion!$B$4:$B$724,G$2)</f>
        <v>148424</v>
      </c>
      <c r="H21" s="5" t="n">
        <f aca="false">SUMIFS(Facturacion!$I$4:$I$724,Facturacion!$A$4:$A$724,$A21,Facturacion!$B$4:$B$724,H$2)</f>
        <v>64533</v>
      </c>
      <c r="I21" s="5" t="n">
        <f aca="false">SUMIFS(Facturacion!$I$4:$I$724,Facturacion!$A$4:$A$724,$A21,Facturacion!$B$4:$B$724,I$2)</f>
        <v>78873</v>
      </c>
      <c r="J21" s="5" t="n">
        <f aca="false">SUMIFS(Facturacion!$I$4:$I$724,Facturacion!$A$4:$A$724,$A21,Facturacion!$B$4:$B$724,J$2)</f>
        <v>47324</v>
      </c>
      <c r="K21" s="5" t="n">
        <f aca="false">SUMIFS(Facturacion!$I$4:$I$724,Facturacion!$A$4:$A$724,$A21,Facturacion!$B$4:$B$724,K$2)</f>
        <v>222278</v>
      </c>
      <c r="L21" s="5" t="n">
        <f aca="false">SUMIFS(Facturacion!$I$4:$I$724,Facturacion!$A$4:$A$724,$A21,Facturacion!$B$4:$B$724,L$2)</f>
        <v>43022</v>
      </c>
      <c r="M21" s="5" t="n">
        <f aca="false">SUMIFS(Facturacion!$I$4:$I$724,Facturacion!$A$4:$A$724,$A21,Facturacion!$B$4:$B$724,M$2)</f>
        <v>45173</v>
      </c>
      <c r="N21" s="12" t="n">
        <f aca="false">SUM(B21:M21)</f>
        <v>1985446</v>
      </c>
    </row>
    <row r="22" customFormat="false" ht="15" hidden="false" customHeight="false" outlineLevel="0" collapsed="false">
      <c r="A22" s="4" t="n">
        <v>45748</v>
      </c>
      <c r="B22" s="5" t="n">
        <f aca="false">SUMIFS(Facturacion!$I$4:$I$724,Facturacion!$A$4:$A$724,$A22,Facturacion!$B$4:$B$724,B$2)</f>
        <v>760047</v>
      </c>
      <c r="C22" s="5" t="n">
        <f aca="false">SUMIFS(Facturacion!$I$4:$I$724,Facturacion!$A$4:$A$724,$A22,Facturacion!$B$4:$B$724,C$2)</f>
        <v>121894</v>
      </c>
      <c r="D22" s="5" t="n">
        <f aca="false">SUMIFS(Facturacion!$I$4:$I$724,Facturacion!$A$4:$A$724,$A22,Facturacion!$B$4:$B$724,D$2)</f>
        <v>23662</v>
      </c>
      <c r="E22" s="5" t="n">
        <f aca="false">SUMIFS(Facturacion!$I$4:$I$724,Facturacion!$A$4:$A$724,$A22,Facturacion!$B$4:$B$724,E$2)</f>
        <v>21511</v>
      </c>
      <c r="F22" s="5" t="n">
        <f aca="false">SUMIFS(Facturacion!$I$4:$I$724,Facturacion!$A$4:$A$724,$A22,Facturacion!$B$4:$B$724,F$2)</f>
        <v>200767</v>
      </c>
      <c r="G22" s="5" t="n">
        <f aca="false">SUMIFS(Facturacion!$I$4:$I$724,Facturacion!$A$4:$A$724,$A22,Facturacion!$B$4:$B$724,G$2)</f>
        <v>0</v>
      </c>
      <c r="H22" s="5" t="n">
        <f aca="false">SUMIFS(Facturacion!$I$4:$I$724,Facturacion!$A$4:$A$724,$A22,Facturacion!$B$4:$B$724,H$2)</f>
        <v>21511</v>
      </c>
      <c r="I22" s="5" t="n">
        <f aca="false">SUMIFS(Facturacion!$I$4:$I$724,Facturacion!$A$4:$A$724,$A22,Facturacion!$B$4:$B$724,I$2)</f>
        <v>28681</v>
      </c>
      <c r="J22" s="5" t="n">
        <f aca="false">SUMIFS(Facturacion!$I$4:$I$724,Facturacion!$A$4:$A$724,$A22,Facturacion!$B$4:$B$724,J$2)</f>
        <v>0</v>
      </c>
      <c r="K22" s="5" t="n">
        <f aca="false">SUMIFS(Facturacion!$I$4:$I$724,Facturacion!$A$4:$A$724,$A22,Facturacion!$B$4:$B$724,K$2)</f>
        <v>222278</v>
      </c>
      <c r="L22" s="5" t="n">
        <f aca="false">SUMIFS(Facturacion!$I$4:$I$724,Facturacion!$A$4:$A$724,$A22,Facturacion!$B$4:$B$724,L$2)</f>
        <v>0</v>
      </c>
      <c r="M22" s="5" t="n">
        <f aca="false">SUMIFS(Facturacion!$I$4:$I$724,Facturacion!$A$4:$A$724,$A22,Facturacion!$B$4:$B$724,M$2)</f>
        <v>150575</v>
      </c>
      <c r="N22" s="12" t="n">
        <f aca="false">SUM(B22:M22)</f>
        <v>1550926</v>
      </c>
    </row>
    <row r="23" customFormat="false" ht="15" hidden="false" customHeight="false" outlineLevel="0" collapsed="false">
      <c r="A23" s="4" t="n">
        <v>45778</v>
      </c>
      <c r="B23" s="5" t="n">
        <f aca="false">SUMIFS(Facturacion!$I$4:$I$724,Facturacion!$A$4:$A$724,$A23,Facturacion!$B$4:$B$724,B$2)</f>
        <v>760047</v>
      </c>
      <c r="C23" s="5" t="n">
        <f aca="false">SUMIFS(Facturacion!$I$4:$I$724,Facturacion!$A$4:$A$724,$A23,Facturacion!$B$4:$B$724,C$2)</f>
        <v>121894</v>
      </c>
      <c r="D23" s="5" t="n">
        <f aca="false">SUMIFS(Facturacion!$I$4:$I$724,Facturacion!$A$4:$A$724,$A23,Facturacion!$B$4:$B$724,D$2)</f>
        <v>23662</v>
      </c>
      <c r="E23" s="5" t="n">
        <f aca="false">SUMIFS(Facturacion!$I$4:$I$724,Facturacion!$A$4:$A$724,$A23,Facturacion!$B$4:$B$724,E$2)</f>
        <v>21511</v>
      </c>
      <c r="F23" s="5" t="n">
        <f aca="false">SUMIFS(Facturacion!$I$4:$I$724,Facturacion!$A$4:$A$724,$A23,Facturacion!$B$4:$B$724,F$2)</f>
        <v>186427</v>
      </c>
      <c r="G23" s="5" t="n">
        <f aca="false">SUMIFS(Facturacion!$I$4:$I$724,Facturacion!$A$4:$A$724,$A23,Facturacion!$B$4:$B$724,G$2)</f>
        <v>0</v>
      </c>
      <c r="H23" s="5" t="n">
        <f aca="false">SUMIFS(Facturacion!$I$4:$I$724,Facturacion!$A$4:$A$724,$A23,Facturacion!$B$4:$B$724,H$2)</f>
        <v>21511</v>
      </c>
      <c r="I23" s="5" t="n">
        <f aca="false">SUMIFS(Facturacion!$I$4:$I$724,Facturacion!$A$4:$A$724,$A23,Facturacion!$B$4:$B$724,I$2)</f>
        <v>28681</v>
      </c>
      <c r="J23" s="5" t="n">
        <f aca="false">SUMIFS(Facturacion!$I$4:$I$724,Facturacion!$A$4:$A$724,$A23,Facturacion!$B$4:$B$724,J$2)</f>
        <v>0</v>
      </c>
      <c r="K23" s="5" t="n">
        <f aca="false">SUMIFS(Facturacion!$I$4:$I$724,Facturacion!$A$4:$A$724,$A23,Facturacion!$B$4:$B$724,K$2)</f>
        <v>236619</v>
      </c>
      <c r="L23" s="5" t="n">
        <f aca="false">SUMIFS(Facturacion!$I$4:$I$724,Facturacion!$A$4:$A$724,$A23,Facturacion!$B$4:$B$724,L$2)</f>
        <v>0</v>
      </c>
      <c r="M23" s="5" t="n">
        <f aca="false">SUMIFS(Facturacion!$I$4:$I$724,Facturacion!$A$4:$A$724,$A23,Facturacion!$B$4:$B$724,M$2)</f>
        <v>0</v>
      </c>
      <c r="N23" s="12" t="n">
        <f aca="false">SUM(B23:M23)</f>
        <v>1400352</v>
      </c>
    </row>
    <row r="24" customFormat="false" ht="15" hidden="false" customHeight="false" outlineLevel="0" collapsed="false">
      <c r="A24" s="4" t="n">
        <v>45809</v>
      </c>
      <c r="B24" s="5" t="n">
        <f aca="false">SUMIFS(Facturacion!$I$4:$I$724,Facturacion!$A$4:$A$724,$A24,Facturacion!$B$4:$B$724,B$2)</f>
        <v>903452</v>
      </c>
      <c r="C24" s="5" t="n">
        <f aca="false">SUMIFS(Facturacion!$I$4:$I$724,Facturacion!$A$4:$A$724,$A24,Facturacion!$B$4:$B$724,C$2)</f>
        <v>207937</v>
      </c>
      <c r="D24" s="5" t="n">
        <f aca="false">SUMIFS(Facturacion!$I$4:$I$724,Facturacion!$A$4:$A$724,$A24,Facturacion!$B$4:$B$724,D$2)</f>
        <v>23662</v>
      </c>
      <c r="E24" s="5" t="n">
        <f aca="false">SUMIFS(Facturacion!$I$4:$I$724,Facturacion!$A$4:$A$724,$A24,Facturacion!$B$4:$B$724,E$2)</f>
        <v>21511</v>
      </c>
      <c r="F24" s="5" t="n">
        <f aca="false">SUMIFS(Facturacion!$I$4:$I$724,Facturacion!$A$4:$A$724,$A24,Facturacion!$B$4:$B$724,F$2)</f>
        <v>193597</v>
      </c>
      <c r="G24" s="5" t="n">
        <f aca="false">SUMIFS(Facturacion!$I$4:$I$724,Facturacion!$A$4:$A$724,$A24,Facturacion!$B$4:$B$724,G$2)</f>
        <v>32983</v>
      </c>
      <c r="H24" s="5" t="n">
        <f aca="false">SUMIFS(Facturacion!$I$4:$I$724,Facturacion!$A$4:$A$724,$A24,Facturacion!$B$4:$B$724,H$2)</f>
        <v>21511</v>
      </c>
      <c r="I24" s="5" t="n">
        <f aca="false">SUMIFS(Facturacion!$I$4:$I$724,Facturacion!$A$4:$A$724,$A24,Facturacion!$B$4:$B$724,I$2)</f>
        <v>28681</v>
      </c>
      <c r="J24" s="5" t="n">
        <f aca="false">SUMIFS(Facturacion!$I$4:$I$724,Facturacion!$A$4:$A$724,$A24,Facturacion!$B$4:$B$724,J$2)</f>
        <v>0</v>
      </c>
      <c r="K24" s="5" t="n">
        <f aca="false">SUMIFS(Facturacion!$I$4:$I$724,Facturacion!$A$4:$A$724,$A24,Facturacion!$B$4:$B$724,K$2)</f>
        <v>207938</v>
      </c>
      <c r="L24" s="5" t="n">
        <f aca="false">SUMIFS(Facturacion!$I$4:$I$724,Facturacion!$A$4:$A$724,$A24,Facturacion!$B$4:$B$724,L$2)</f>
        <v>0</v>
      </c>
      <c r="M24" s="5" t="n">
        <f aca="false">SUMIFS(Facturacion!$I$4:$I$724,Facturacion!$A$4:$A$724,$A24,Facturacion!$B$4:$B$724,M$2)</f>
        <v>0</v>
      </c>
      <c r="N24" s="12" t="n">
        <f aca="false">SUM(B24:M24)</f>
        <v>1641272</v>
      </c>
    </row>
    <row r="25" customFormat="false" ht="15" hidden="false" customHeight="false" outlineLevel="0" collapsed="false">
      <c r="A25" s="4" t="n">
        <v>45839</v>
      </c>
      <c r="B25" s="5" t="n">
        <f aca="false">SUMIFS(Facturacion!$I$4:$I$724,Facturacion!$A$4:$A$724,$A25,Facturacion!$B$4:$B$724,B$2)</f>
        <v>731366</v>
      </c>
      <c r="C25" s="5" t="n">
        <f aca="false">SUMIFS(Facturacion!$I$4:$I$724,Facturacion!$A$4:$A$724,$A25,Facturacion!$B$4:$B$724,C$2)</f>
        <v>129065</v>
      </c>
      <c r="D25" s="5" t="n">
        <f aca="false">SUMIFS(Facturacion!$I$4:$I$724,Facturacion!$A$4:$A$724,$A25,Facturacion!$B$4:$B$724,D$2)</f>
        <v>23662</v>
      </c>
      <c r="E25" s="5" t="n">
        <f aca="false">SUMIFS(Facturacion!$I$4:$I$724,Facturacion!$A$4:$A$724,$A25,Facturacion!$B$4:$B$724,E$2)</f>
        <v>28681</v>
      </c>
      <c r="F25" s="5" t="n">
        <f aca="false">SUMIFS(Facturacion!$I$4:$I$724,Facturacion!$A$4:$A$724,$A25,Facturacion!$B$4:$B$724,F$2)</f>
        <v>215108</v>
      </c>
      <c r="G25" s="5" t="n">
        <f aca="false">SUMIFS(Facturacion!$I$4:$I$724,Facturacion!$A$4:$A$724,$A25,Facturacion!$B$4:$B$724,G$2)</f>
        <v>0</v>
      </c>
      <c r="H25" s="5" t="n">
        <f aca="false">SUMIFS(Facturacion!$I$4:$I$724,Facturacion!$A$4:$A$724,$A25,Facturacion!$B$4:$B$724,H$2)</f>
        <v>21511</v>
      </c>
      <c r="I25" s="5" t="n">
        <f aca="false">SUMIFS(Facturacion!$I$4:$I$724,Facturacion!$A$4:$A$724,$A25,Facturacion!$B$4:$B$724,I$2)</f>
        <v>28681</v>
      </c>
      <c r="J25" s="5" t="n">
        <f aca="false">SUMIFS(Facturacion!$I$4:$I$724,Facturacion!$A$4:$A$724,$A25,Facturacion!$B$4:$B$724,J$2)</f>
        <v>0</v>
      </c>
      <c r="K25" s="5" t="n">
        <f aca="false">SUMIFS(Facturacion!$I$4:$I$724,Facturacion!$A$4:$A$724,$A25,Facturacion!$B$4:$B$724,K$2)</f>
        <v>222278</v>
      </c>
      <c r="L25" s="5" t="n">
        <f aca="false">SUMIFS(Facturacion!$I$4:$I$724,Facturacion!$A$4:$A$724,$A25,Facturacion!$B$4:$B$724,L$2)</f>
        <v>0</v>
      </c>
      <c r="M25" s="5" t="n">
        <f aca="false">SUMIFS(Facturacion!$I$4:$I$724,Facturacion!$A$4:$A$724,$A25,Facturacion!$B$4:$B$724,M$2)</f>
        <v>0</v>
      </c>
      <c r="N25" s="12" t="n">
        <f aca="false">SUM(B25:M25)</f>
        <v>1400352</v>
      </c>
    </row>
    <row r="26" customFormat="false" ht="15" hidden="false" customHeight="false" outlineLevel="0" collapsed="false">
      <c r="A26" s="4" t="n">
        <v>45870</v>
      </c>
      <c r="B26" s="5" t="n">
        <f aca="false">SUMIFS(Facturacion!$I$4:$I$724,Facturacion!$A$4:$A$724,$A26,Facturacion!$B$4:$B$724,B$2)</f>
        <v>760047</v>
      </c>
      <c r="C26" s="5" t="n">
        <f aca="false">SUMIFS(Facturacion!$I$4:$I$724,Facturacion!$A$4:$A$724,$A26,Facturacion!$B$4:$B$724,C$2)</f>
        <v>129065</v>
      </c>
      <c r="D26" s="5" t="n">
        <f aca="false">SUMIFS(Facturacion!$I$4:$I$724,Facturacion!$A$4:$A$724,$A26,Facturacion!$B$4:$B$724,D$2)</f>
        <v>23662</v>
      </c>
      <c r="E26" s="5" t="n">
        <f aca="false">SUMIFS(Facturacion!$I$4:$I$724,Facturacion!$A$4:$A$724,$A26,Facturacion!$B$4:$B$724,E$2)</f>
        <v>21511</v>
      </c>
      <c r="F26" s="5" t="n">
        <f aca="false">SUMIFS(Facturacion!$I$4:$I$724,Facturacion!$A$4:$A$724,$A26,Facturacion!$B$4:$B$724,F$2)</f>
        <v>200767</v>
      </c>
      <c r="G26" s="5" t="n">
        <f aca="false">SUMIFS(Facturacion!$I$4:$I$724,Facturacion!$A$4:$A$724,$A26,Facturacion!$B$4:$B$724,G$2)</f>
        <v>98949</v>
      </c>
      <c r="H26" s="5" t="n">
        <f aca="false">SUMIFS(Facturacion!$I$4:$I$724,Facturacion!$A$4:$A$724,$A26,Facturacion!$B$4:$B$724,H$2)</f>
        <v>57362</v>
      </c>
      <c r="I26" s="5" t="n">
        <f aca="false">SUMIFS(Facturacion!$I$4:$I$724,Facturacion!$A$4:$A$724,$A26,Facturacion!$B$4:$B$724,I$2)</f>
        <v>28681</v>
      </c>
      <c r="J26" s="5" t="n">
        <f aca="false">SUMIFS(Facturacion!$I$4:$I$724,Facturacion!$A$4:$A$724,$A26,Facturacion!$B$4:$B$724,J$2)</f>
        <v>0</v>
      </c>
      <c r="K26" s="5" t="n">
        <f aca="false">SUMIFS(Facturacion!$I$4:$I$724,Facturacion!$A$4:$A$724,$A26,Facturacion!$B$4:$B$724,K$2)</f>
        <v>222278</v>
      </c>
      <c r="L26" s="5" t="n">
        <f aca="false">SUMIFS(Facturacion!$I$4:$I$724,Facturacion!$A$4:$A$724,$A26,Facturacion!$B$4:$B$724,L$2)</f>
        <v>0</v>
      </c>
      <c r="M26" s="5" t="n">
        <f aca="false">SUMIFS(Facturacion!$I$4:$I$724,Facturacion!$A$4:$A$724,$A26,Facturacion!$B$4:$B$724,M$2)</f>
        <v>0</v>
      </c>
      <c r="N26" s="12" t="n">
        <f aca="false">SUM(B26:M26)</f>
        <v>1542322</v>
      </c>
    </row>
    <row r="27" customFormat="false" ht="15" hidden="false" customHeight="false" outlineLevel="0" collapsed="false">
      <c r="A27" s="4" t="n">
        <v>45901</v>
      </c>
      <c r="B27" s="5" t="n">
        <f aca="false">SUMIFS(Facturacion!$I$4:$I$724,Facturacion!$A$4:$A$724,$A27,Facturacion!$B$4:$B$724,B$2)</f>
        <v>717025</v>
      </c>
      <c r="C27" s="5" t="n">
        <f aca="false">SUMIFS(Facturacion!$I$4:$I$724,Facturacion!$A$4:$A$724,$A27,Facturacion!$B$4:$B$724,C$2)</f>
        <v>114724</v>
      </c>
      <c r="D27" s="5" t="n">
        <f aca="false">SUMIFS(Facturacion!$I$4:$I$724,Facturacion!$A$4:$A$724,$A27,Facturacion!$B$4:$B$724,D$2)</f>
        <v>31549</v>
      </c>
      <c r="E27" s="5" t="n">
        <f aca="false">SUMIFS(Facturacion!$I$4:$I$724,Facturacion!$A$4:$A$724,$A27,Facturacion!$B$4:$B$724,E$2)</f>
        <v>21511</v>
      </c>
      <c r="F27" s="5" t="n">
        <f aca="false">SUMIFS(Facturacion!$I$4:$I$724,Facturacion!$A$4:$A$724,$A27,Facturacion!$B$4:$B$724,F$2)</f>
        <v>222278</v>
      </c>
      <c r="G27" s="5" t="n">
        <f aca="false">SUMIFS(Facturacion!$I$4:$I$724,Facturacion!$A$4:$A$724,$A27,Facturacion!$B$4:$B$724,G$2)</f>
        <v>0</v>
      </c>
      <c r="H27" s="5" t="n">
        <f aca="false">SUMIFS(Facturacion!$I$4:$I$724,Facturacion!$A$4:$A$724,$A27,Facturacion!$B$4:$B$724,H$2)</f>
        <v>78873</v>
      </c>
      <c r="I27" s="5" t="n">
        <f aca="false">SUMIFS(Facturacion!$I$4:$I$724,Facturacion!$A$4:$A$724,$A27,Facturacion!$B$4:$B$724,I$2)</f>
        <v>35851</v>
      </c>
      <c r="J27" s="5" t="n">
        <f aca="false">SUMIFS(Facturacion!$I$4:$I$724,Facturacion!$A$4:$A$724,$A27,Facturacion!$B$4:$B$724,J$2)</f>
        <v>0</v>
      </c>
      <c r="K27" s="5" t="n">
        <f aca="false">SUMIFS(Facturacion!$I$4:$I$724,Facturacion!$A$4:$A$724,$A27,Facturacion!$B$4:$B$724,K$2)</f>
        <v>222278</v>
      </c>
      <c r="L27" s="5" t="n">
        <f aca="false">SUMIFS(Facturacion!$I$4:$I$724,Facturacion!$A$4:$A$724,$A27,Facturacion!$B$4:$B$724,L$2)</f>
        <v>0</v>
      </c>
      <c r="M27" s="5" t="n">
        <f aca="false">SUMIFS(Facturacion!$I$4:$I$724,Facturacion!$A$4:$A$724,$A27,Facturacion!$B$4:$B$724,M$2)</f>
        <v>0</v>
      </c>
      <c r="N27" s="12" t="n">
        <f aca="false">SUM(B27:M27)</f>
        <v>1444089</v>
      </c>
    </row>
    <row r="28" customFormat="false" ht="15" hidden="false" customHeight="false" outlineLevel="0" collapsed="false">
      <c r="A28" s="4" t="n">
        <v>45931</v>
      </c>
      <c r="B28" s="5" t="n">
        <f aca="false">SUMIFS(Facturacion!$I$4:$I$724,Facturacion!$A$4:$A$724,$A28,Facturacion!$B$4:$B$724,B$2)</f>
        <v>717025</v>
      </c>
      <c r="C28" s="5" t="n">
        <f aca="false">SUMIFS(Facturacion!$I$4:$I$724,Facturacion!$A$4:$A$724,$A28,Facturacion!$B$4:$B$724,C$2)</f>
        <v>121894</v>
      </c>
      <c r="D28" s="5" t="n">
        <f aca="false">SUMIFS(Facturacion!$I$4:$I$724,Facturacion!$A$4:$A$724,$A28,Facturacion!$B$4:$B$724,D$2)</f>
        <v>23662</v>
      </c>
      <c r="E28" s="5" t="n">
        <f aca="false">SUMIFS(Facturacion!$I$4:$I$724,Facturacion!$A$4:$A$724,$A28,Facturacion!$B$4:$B$724,E$2)</f>
        <v>21511</v>
      </c>
      <c r="F28" s="5" t="n">
        <f aca="false">SUMIFS(Facturacion!$I$4:$I$724,Facturacion!$A$4:$A$724,$A28,Facturacion!$B$4:$B$724,F$2)</f>
        <v>215108</v>
      </c>
      <c r="G28" s="5" t="n">
        <f aca="false">SUMIFS(Facturacion!$I$4:$I$724,Facturacion!$A$4:$A$724,$A28,Facturacion!$B$4:$B$724,G$2)</f>
        <v>0</v>
      </c>
      <c r="H28" s="5" t="n">
        <f aca="false">SUMIFS(Facturacion!$I$4:$I$724,Facturacion!$A$4:$A$724,$A28,Facturacion!$B$4:$B$724,H$2)</f>
        <v>21511</v>
      </c>
      <c r="I28" s="5" t="n">
        <f aca="false">SUMIFS(Facturacion!$I$4:$I$724,Facturacion!$A$4:$A$724,$A28,Facturacion!$B$4:$B$724,I$2)</f>
        <v>28681</v>
      </c>
      <c r="J28" s="5" t="n">
        <f aca="false">SUMIFS(Facturacion!$I$4:$I$724,Facturacion!$A$4:$A$724,$A28,Facturacion!$B$4:$B$724,J$2)</f>
        <v>0</v>
      </c>
      <c r="K28" s="5" t="n">
        <f aca="false">SUMIFS(Facturacion!$I$4:$I$724,Facturacion!$A$4:$A$724,$A28,Facturacion!$B$4:$B$724,K$2)</f>
        <v>243789</v>
      </c>
      <c r="L28" s="5" t="n">
        <f aca="false">SUMIFS(Facturacion!$I$4:$I$724,Facturacion!$A$4:$A$724,$A28,Facturacion!$B$4:$B$724,L$2)</f>
        <v>0</v>
      </c>
      <c r="M28" s="5" t="n">
        <f aca="false">SUMIFS(Facturacion!$I$4:$I$724,Facturacion!$A$4:$A$724,$A28,Facturacion!$B$4:$B$724,M$2)</f>
        <v>30115</v>
      </c>
      <c r="N28" s="12" t="n">
        <f aca="false">SUM(B28:M28)</f>
        <v>1423296</v>
      </c>
    </row>
    <row r="29" customFormat="false" ht="15" hidden="false" customHeight="false" outlineLevel="0" collapsed="false">
      <c r="A29" s="4" t="n">
        <v>45962</v>
      </c>
      <c r="B29" s="5" t="n">
        <f aca="false">SUMIFS(Facturacion!$I$4:$I$724,Facturacion!$A$4:$A$724,$A29,Facturacion!$B$4:$B$724,B$2)</f>
        <v>788728</v>
      </c>
      <c r="C29" s="5" t="n">
        <f aca="false">SUMIFS(Facturacion!$I$4:$I$724,Facturacion!$A$4:$A$724,$A29,Facturacion!$B$4:$B$724,C$2)</f>
        <v>121894</v>
      </c>
      <c r="D29" s="5" t="n">
        <f aca="false">SUMIFS(Facturacion!$I$4:$I$724,Facturacion!$A$4:$A$724,$A29,Facturacion!$B$4:$B$724,D$2)</f>
        <v>31549</v>
      </c>
      <c r="E29" s="5" t="n">
        <f aca="false">SUMIFS(Facturacion!$I$4:$I$724,Facturacion!$A$4:$A$724,$A29,Facturacion!$B$4:$B$724,E$2)</f>
        <v>28681</v>
      </c>
      <c r="F29" s="5" t="n">
        <f aca="false">SUMIFS(Facturacion!$I$4:$I$724,Facturacion!$A$4:$A$724,$A29,Facturacion!$B$4:$B$724,F$2)</f>
        <v>200767</v>
      </c>
      <c r="G29" s="5" t="n">
        <f aca="false">SUMIFS(Facturacion!$I$4:$I$724,Facturacion!$A$4:$A$724,$A29,Facturacion!$B$4:$B$724,G$2)</f>
        <v>0</v>
      </c>
      <c r="H29" s="5" t="n">
        <f aca="false">SUMIFS(Facturacion!$I$4:$I$724,Facturacion!$A$4:$A$724,$A29,Facturacion!$B$4:$B$724,H$2)</f>
        <v>21511</v>
      </c>
      <c r="I29" s="5" t="n">
        <f aca="false">SUMIFS(Facturacion!$I$4:$I$724,Facturacion!$A$4:$A$724,$A29,Facturacion!$B$4:$B$724,I$2)</f>
        <v>28681</v>
      </c>
      <c r="J29" s="5" t="n">
        <f aca="false">SUMIFS(Facturacion!$I$4:$I$724,Facturacion!$A$4:$A$724,$A29,Facturacion!$B$4:$B$724,J$2)</f>
        <v>0</v>
      </c>
      <c r="K29" s="5" t="n">
        <f aca="false">SUMIFS(Facturacion!$I$4:$I$724,Facturacion!$A$4:$A$724,$A29,Facturacion!$B$4:$B$724,K$2)</f>
        <v>236619</v>
      </c>
      <c r="L29" s="5" t="n">
        <f aca="false">SUMIFS(Facturacion!$I$4:$I$724,Facturacion!$A$4:$A$724,$A29,Facturacion!$B$4:$B$724,L$2)</f>
        <v>0</v>
      </c>
      <c r="M29" s="5" t="n">
        <f aca="false">SUMIFS(Facturacion!$I$4:$I$724,Facturacion!$A$4:$A$724,$A29,Facturacion!$B$4:$B$724,M$2)</f>
        <v>0</v>
      </c>
      <c r="N29" s="12" t="n">
        <f aca="false">SUM(B29:M29)</f>
        <v>1458430</v>
      </c>
    </row>
    <row r="30" customFormat="false" ht="15" hidden="false" customHeight="false" outlineLevel="0" collapsed="false">
      <c r="A30" s="4" t="n">
        <v>45992</v>
      </c>
      <c r="B30" s="5" t="n">
        <f aca="false">SUMIFS(Facturacion!$I$4:$I$724,Facturacion!$A$4:$A$724,$A30,Facturacion!$B$4:$B$724,B$2)</f>
        <v>1046857</v>
      </c>
      <c r="C30" s="5" t="n">
        <f aca="false">SUMIFS(Facturacion!$I$4:$I$724,Facturacion!$A$4:$A$724,$A30,Facturacion!$B$4:$B$724,C$2)</f>
        <v>129065</v>
      </c>
      <c r="D30" s="5" t="n">
        <f aca="false">SUMIFS(Facturacion!$I$4:$I$724,Facturacion!$A$4:$A$724,$A30,Facturacion!$B$4:$B$724,D$2)</f>
        <v>78873</v>
      </c>
      <c r="E30" s="5" t="n">
        <f aca="false">SUMIFS(Facturacion!$I$4:$I$724,Facturacion!$A$4:$A$724,$A30,Facturacion!$B$4:$B$724,E$2)</f>
        <v>71703</v>
      </c>
      <c r="F30" s="5" t="n">
        <f aca="false">SUMIFS(Facturacion!$I$4:$I$724,Facturacion!$A$4:$A$724,$A30,Facturacion!$B$4:$B$724,F$2)</f>
        <v>265300</v>
      </c>
      <c r="G30" s="5" t="n">
        <f aca="false">SUMIFS(Facturacion!$I$4:$I$724,Facturacion!$A$4:$A$724,$A30,Facturacion!$B$4:$B$724,G$2)</f>
        <v>0</v>
      </c>
      <c r="H30" s="5" t="n">
        <f aca="false">SUMIFS(Facturacion!$I$4:$I$724,Facturacion!$A$4:$A$724,$A30,Facturacion!$B$4:$B$724,H$2)</f>
        <v>21511</v>
      </c>
      <c r="I30" s="5" t="n">
        <f aca="false">SUMIFS(Facturacion!$I$4:$I$724,Facturacion!$A$4:$A$724,$A30,Facturacion!$B$4:$B$724,I$2)</f>
        <v>114724</v>
      </c>
      <c r="J30" s="5" t="n">
        <f aca="false">SUMIFS(Facturacion!$I$4:$I$724,Facturacion!$A$4:$A$724,$A30,Facturacion!$B$4:$B$724,J$2)</f>
        <v>0</v>
      </c>
      <c r="K30" s="5" t="n">
        <f aca="false">SUMIFS(Facturacion!$I$4:$I$724,Facturacion!$A$4:$A$724,$A30,Facturacion!$B$4:$B$724,K$2)</f>
        <v>258130</v>
      </c>
      <c r="L30" s="5" t="n">
        <f aca="false">SUMIFS(Facturacion!$I$4:$I$724,Facturacion!$A$4:$A$724,$A30,Facturacion!$B$4:$B$724,L$2)</f>
        <v>0</v>
      </c>
      <c r="M30" s="5" t="n">
        <f aca="false">SUMIFS(Facturacion!$I$4:$I$724,Facturacion!$A$4:$A$724,$A30,Facturacion!$B$4:$B$724,M$2)</f>
        <v>0</v>
      </c>
      <c r="N30" s="12" t="n">
        <f aca="false">SUM(B30:M30)</f>
        <v>1986163</v>
      </c>
    </row>
    <row r="31" customFormat="false" ht="15" hidden="false" customHeight="false" outlineLevel="0" collapsed="false">
      <c r="A31" s="4" t="n">
        <v>46023</v>
      </c>
      <c r="B31" s="5" t="n">
        <f aca="false">SUMIFS(Facturacion!$I$4:$I$724,Facturacion!$A$4:$A$724,$A31,Facturacion!$B$4:$B$724,B$2)</f>
        <v>817409</v>
      </c>
      <c r="C31" s="5" t="n">
        <f aca="false">SUMIFS(Facturacion!$I$4:$I$724,Facturacion!$A$4:$A$724,$A31,Facturacion!$B$4:$B$724,C$2)</f>
        <v>114724</v>
      </c>
      <c r="D31" s="5" t="n">
        <f aca="false">SUMIFS(Facturacion!$I$4:$I$724,Facturacion!$A$4:$A$724,$A31,Facturacion!$B$4:$B$724,D$2)</f>
        <v>31549</v>
      </c>
      <c r="E31" s="5" t="n">
        <f aca="false">SUMIFS(Facturacion!$I$4:$I$724,Facturacion!$A$4:$A$724,$A31,Facturacion!$B$4:$B$724,E$2)</f>
        <v>21511</v>
      </c>
      <c r="F31" s="5" t="n">
        <f aca="false">SUMIFS(Facturacion!$I$4:$I$724,Facturacion!$A$4:$A$724,$A31,Facturacion!$B$4:$B$724,F$2)</f>
        <v>437385</v>
      </c>
      <c r="G31" s="5" t="n">
        <f aca="false">SUMIFS(Facturacion!$I$4:$I$724,Facturacion!$A$4:$A$724,$A31,Facturacion!$B$4:$B$724,G$2)</f>
        <v>0</v>
      </c>
      <c r="H31" s="5" t="n">
        <f aca="false">SUMIFS(Facturacion!$I$4:$I$724,Facturacion!$A$4:$A$724,$A31,Facturacion!$B$4:$B$724,H$2)</f>
        <v>21511</v>
      </c>
      <c r="I31" s="5" t="n">
        <f aca="false">SUMIFS(Facturacion!$I$4:$I$724,Facturacion!$A$4:$A$724,$A31,Facturacion!$B$4:$B$724,I$2)</f>
        <v>35851</v>
      </c>
      <c r="J31" s="5" t="n">
        <f aca="false">SUMIFS(Facturacion!$I$4:$I$724,Facturacion!$A$4:$A$724,$A31,Facturacion!$B$4:$B$724,J$2)</f>
        <v>0</v>
      </c>
      <c r="K31" s="5" t="n">
        <f aca="false">SUMIFS(Facturacion!$I$4:$I$724,Facturacion!$A$4:$A$724,$A31,Facturacion!$B$4:$B$724,K$2)</f>
        <v>272470</v>
      </c>
      <c r="L31" s="5" t="n">
        <f aca="false">SUMIFS(Facturacion!$I$4:$I$724,Facturacion!$A$4:$A$724,$A31,Facturacion!$B$4:$B$724,L$2)</f>
        <v>0</v>
      </c>
      <c r="M31" s="5" t="n">
        <f aca="false">SUMIFS(Facturacion!$I$4:$I$724,Facturacion!$A$4:$A$724,$A31,Facturacion!$B$4:$B$724,M$2)</f>
        <v>0</v>
      </c>
      <c r="N31" s="12" t="n">
        <f aca="false">SUM(B31:M31)</f>
        <v>1752410</v>
      </c>
    </row>
    <row r="32" customFormat="false" ht="15" hidden="false" customHeight="false" outlineLevel="0" collapsed="false">
      <c r="A32" s="4" t="n">
        <v>46054</v>
      </c>
      <c r="B32" s="5" t="n">
        <f aca="false">SUMIFS(Facturacion!$I$4:$I$724,Facturacion!$A$4:$A$724,$A32,Facturacion!$B$4:$B$724,B$2)</f>
        <v>817409</v>
      </c>
      <c r="C32" s="5" t="n">
        <f aca="false">SUMIFS(Facturacion!$I$4:$I$724,Facturacion!$A$4:$A$724,$A32,Facturacion!$B$4:$B$724,C$2)</f>
        <v>136235</v>
      </c>
      <c r="D32" s="5" t="n">
        <f aca="false">SUMIFS(Facturacion!$I$4:$I$724,Facturacion!$A$4:$A$724,$A32,Facturacion!$B$4:$B$724,D$2)</f>
        <v>39437</v>
      </c>
      <c r="E32" s="5" t="n">
        <f aca="false">SUMIFS(Facturacion!$I$4:$I$724,Facturacion!$A$4:$A$724,$A32,Facturacion!$B$4:$B$724,E$2)</f>
        <v>43022</v>
      </c>
      <c r="F32" s="5" t="n">
        <f aca="false">SUMIFS(Facturacion!$I$4:$I$724,Facturacion!$A$4:$A$724,$A32,Facturacion!$B$4:$B$724,F$2)</f>
        <v>301151</v>
      </c>
      <c r="G32" s="5" t="n">
        <f aca="false">SUMIFS(Facturacion!$I$4:$I$724,Facturacion!$A$4:$A$724,$A32,Facturacion!$B$4:$B$724,G$2)</f>
        <v>0</v>
      </c>
      <c r="H32" s="5" t="n">
        <f aca="false">SUMIFS(Facturacion!$I$4:$I$724,Facturacion!$A$4:$A$724,$A32,Facturacion!$B$4:$B$724,H$2)</f>
        <v>35852</v>
      </c>
      <c r="I32" s="5" t="n">
        <f aca="false">SUMIFS(Facturacion!$I$4:$I$724,Facturacion!$A$4:$A$724,$A32,Facturacion!$B$4:$B$724,I$2)</f>
        <v>50192</v>
      </c>
      <c r="J32" s="5" t="n">
        <f aca="false">SUMIFS(Facturacion!$I$4:$I$724,Facturacion!$A$4:$A$724,$A32,Facturacion!$B$4:$B$724,J$2)</f>
        <v>0</v>
      </c>
      <c r="K32" s="5" t="n">
        <f aca="false">SUMIFS(Facturacion!$I$4:$I$724,Facturacion!$A$4:$A$724,$A32,Facturacion!$B$4:$B$724,K$2)</f>
        <v>222279</v>
      </c>
      <c r="L32" s="5" t="n">
        <f aca="false">SUMIFS(Facturacion!$I$4:$I$724,Facturacion!$A$4:$A$724,$A32,Facturacion!$B$4:$B$724,L$2)</f>
        <v>0</v>
      </c>
      <c r="M32" s="5" t="n">
        <f aca="false">SUMIFS(Facturacion!$I$4:$I$724,Facturacion!$A$4:$A$724,$A32,Facturacion!$B$4:$B$724,M$2)</f>
        <v>45173</v>
      </c>
      <c r="N32" s="12" t="n">
        <f aca="false">SUM(B32:M32)</f>
        <v>1690750</v>
      </c>
    </row>
    <row r="33" customFormat="false" ht="15" hidden="false" customHeight="false" outlineLevel="0" collapsed="false">
      <c r="A33" s="4" t="n">
        <v>46082</v>
      </c>
      <c r="B33" s="5" t="n">
        <f aca="false">SUMIFS(Facturacion!$I$4:$I$724,Facturacion!$A$4:$A$724,$A33,Facturacion!$B$4:$B$724,B$2)</f>
        <v>745706</v>
      </c>
      <c r="C33" s="5" t="n">
        <f aca="false">SUMIFS(Facturacion!$I$4:$I$724,Facturacion!$A$4:$A$724,$A33,Facturacion!$B$4:$B$724,C$2)</f>
        <v>337002</v>
      </c>
      <c r="D33" s="5" t="n">
        <f aca="false">SUMIFS(Facturacion!$I$4:$I$724,Facturacion!$A$4:$A$724,$A33,Facturacion!$B$4:$B$724,D$2)</f>
        <v>23662</v>
      </c>
      <c r="E33" s="5" t="n">
        <f aca="false">SUMIFS(Facturacion!$I$4:$I$724,Facturacion!$A$4:$A$724,$A33,Facturacion!$B$4:$B$724,E$2)</f>
        <v>21511</v>
      </c>
      <c r="F33" s="5" t="n">
        <f aca="false">SUMIFS(Facturacion!$I$4:$I$724,Facturacion!$A$4:$A$724,$A33,Facturacion!$B$4:$B$724,F$2)</f>
        <v>215108</v>
      </c>
      <c r="G33" s="5" t="n">
        <f aca="false">SUMIFS(Facturacion!$I$4:$I$724,Facturacion!$A$4:$A$724,$A33,Facturacion!$B$4:$B$724,G$2)</f>
        <v>57721</v>
      </c>
      <c r="H33" s="5" t="n">
        <f aca="false">SUMIFS(Facturacion!$I$4:$I$724,Facturacion!$A$4:$A$724,$A33,Facturacion!$B$4:$B$724,H$2)</f>
        <v>71703</v>
      </c>
      <c r="I33" s="5" t="n">
        <f aca="false">SUMIFS(Facturacion!$I$4:$I$724,Facturacion!$A$4:$A$724,$A33,Facturacion!$B$4:$B$724,I$2)</f>
        <v>78873</v>
      </c>
      <c r="J33" s="5" t="n">
        <f aca="false">SUMIFS(Facturacion!$I$4:$I$724,Facturacion!$A$4:$A$724,$A33,Facturacion!$B$4:$B$724,J$2)</f>
        <v>47324</v>
      </c>
      <c r="K33" s="5" t="n">
        <f aca="false">SUMIFS(Facturacion!$I$4:$I$724,Facturacion!$A$4:$A$724,$A33,Facturacion!$B$4:$B$724,K$2)</f>
        <v>229448</v>
      </c>
      <c r="L33" s="5" t="n">
        <f aca="false">SUMIFS(Facturacion!$I$4:$I$724,Facturacion!$A$4:$A$724,$A33,Facturacion!$B$4:$B$724,L$2)</f>
        <v>50192</v>
      </c>
      <c r="M33" s="5" t="n">
        <f aca="false">SUMIFS(Facturacion!$I$4:$I$724,Facturacion!$A$4:$A$724,$A33,Facturacion!$B$4:$B$724,M$2)</f>
        <v>75288</v>
      </c>
      <c r="N33" s="12" t="n">
        <f aca="false">SUM(B33:M33)</f>
        <v>1953538</v>
      </c>
    </row>
    <row r="34" customFormat="false" ht="15" hidden="false" customHeight="false" outlineLevel="0" collapsed="false">
      <c r="A34" s="4" t="n">
        <v>46113</v>
      </c>
      <c r="B34" s="5" t="n">
        <f aca="false">SUMIFS(Facturacion!$I$4:$I$724,Facturacion!$A$4:$A$724,$A34,Facturacion!$B$4:$B$724,B$2)</f>
        <v>731366</v>
      </c>
      <c r="C34" s="5" t="n">
        <f aca="false">SUMIFS(Facturacion!$I$4:$I$724,Facturacion!$A$4:$A$724,$A34,Facturacion!$B$4:$B$724,C$2)</f>
        <v>114724</v>
      </c>
      <c r="D34" s="5" t="n">
        <f aca="false">SUMIFS(Facturacion!$I$4:$I$724,Facturacion!$A$4:$A$724,$A34,Facturacion!$B$4:$B$724,D$2)</f>
        <v>31549</v>
      </c>
      <c r="E34" s="5" t="n">
        <f aca="false">SUMIFS(Facturacion!$I$4:$I$724,Facturacion!$A$4:$A$724,$A34,Facturacion!$B$4:$B$724,E$2)</f>
        <v>28681</v>
      </c>
      <c r="F34" s="5" t="n">
        <f aca="false">SUMIFS(Facturacion!$I$4:$I$724,Facturacion!$A$4:$A$724,$A34,Facturacion!$B$4:$B$724,F$2)</f>
        <v>222278</v>
      </c>
      <c r="G34" s="5" t="n">
        <f aca="false">SUMIFS(Facturacion!$I$4:$I$724,Facturacion!$A$4:$A$724,$A34,Facturacion!$B$4:$B$724,G$2)</f>
        <v>98949</v>
      </c>
      <c r="H34" s="5" t="n">
        <f aca="false">SUMIFS(Facturacion!$I$4:$I$724,Facturacion!$A$4:$A$724,$A34,Facturacion!$B$4:$B$724,H$2)</f>
        <v>86043</v>
      </c>
      <c r="I34" s="5" t="n">
        <f aca="false">SUMIFS(Facturacion!$I$4:$I$724,Facturacion!$A$4:$A$724,$A34,Facturacion!$B$4:$B$724,I$2)</f>
        <v>35851</v>
      </c>
      <c r="J34" s="5" t="n">
        <f aca="false">SUMIFS(Facturacion!$I$4:$I$724,Facturacion!$A$4:$A$724,$A34,Facturacion!$B$4:$B$724,J$2)</f>
        <v>0</v>
      </c>
      <c r="K34" s="5" t="n">
        <f aca="false">SUMIFS(Facturacion!$I$4:$I$724,Facturacion!$A$4:$A$724,$A34,Facturacion!$B$4:$B$724,K$2)</f>
        <v>222278</v>
      </c>
      <c r="L34" s="5" t="n">
        <f aca="false">SUMIFS(Facturacion!$I$4:$I$724,Facturacion!$A$4:$A$724,$A34,Facturacion!$B$4:$B$724,L$2)</f>
        <v>0</v>
      </c>
      <c r="M34" s="5" t="n">
        <f aca="false">SUMIFS(Facturacion!$I$4:$I$724,Facturacion!$A$4:$A$724,$A34,Facturacion!$B$4:$B$724,M$2)</f>
        <v>0</v>
      </c>
      <c r="N34" s="12" t="n">
        <f aca="false">SUM(B34:M34)</f>
        <v>1571719</v>
      </c>
    </row>
    <row r="35" customFormat="false" ht="15" hidden="false" customHeight="false" outlineLevel="0" collapsed="false">
      <c r="A35" s="4" t="n">
        <v>46143</v>
      </c>
      <c r="B35" s="5" t="n">
        <f aca="false">SUMIFS(Facturacion!$I$4:$I$724,Facturacion!$A$4:$A$724,$A35,Facturacion!$B$4:$B$724,B$2)</f>
        <v>760047</v>
      </c>
      <c r="C35" s="5" t="n">
        <f aca="false">SUMIFS(Facturacion!$I$4:$I$724,Facturacion!$A$4:$A$724,$A35,Facturacion!$B$4:$B$724,C$2)</f>
        <v>129064</v>
      </c>
      <c r="D35" s="5" t="n">
        <f aca="false">SUMIFS(Facturacion!$I$4:$I$724,Facturacion!$A$4:$A$724,$A35,Facturacion!$B$4:$B$724,D$2)</f>
        <v>23662</v>
      </c>
      <c r="E35" s="5" t="n">
        <f aca="false">SUMIFS(Facturacion!$I$4:$I$724,Facturacion!$A$4:$A$724,$A35,Facturacion!$B$4:$B$724,E$2)</f>
        <v>28681</v>
      </c>
      <c r="F35" s="5" t="n">
        <f aca="false">SUMIFS(Facturacion!$I$4:$I$724,Facturacion!$A$4:$A$724,$A35,Facturacion!$B$4:$B$724,F$2)</f>
        <v>215108</v>
      </c>
      <c r="G35" s="5" t="n">
        <f aca="false">SUMIFS(Facturacion!$I$4:$I$724,Facturacion!$A$4:$A$724,$A35,Facturacion!$B$4:$B$724,G$2)</f>
        <v>0</v>
      </c>
      <c r="H35" s="5" t="n">
        <f aca="false">SUMIFS(Facturacion!$I$4:$I$724,Facturacion!$A$4:$A$724,$A35,Facturacion!$B$4:$B$724,H$2)</f>
        <v>28681</v>
      </c>
      <c r="I35" s="5" t="n">
        <f aca="false">SUMIFS(Facturacion!$I$4:$I$724,Facturacion!$A$4:$A$724,$A35,Facturacion!$B$4:$B$724,I$2)</f>
        <v>28681</v>
      </c>
      <c r="J35" s="5" t="n">
        <f aca="false">SUMIFS(Facturacion!$I$4:$I$724,Facturacion!$A$4:$A$724,$A35,Facturacion!$B$4:$B$724,J$2)</f>
        <v>0</v>
      </c>
      <c r="K35" s="5" t="n">
        <f aca="false">SUMIFS(Facturacion!$I$4:$I$724,Facturacion!$A$4:$A$724,$A35,Facturacion!$B$4:$B$724,K$2)</f>
        <v>222278</v>
      </c>
      <c r="L35" s="5" t="n">
        <f aca="false">SUMIFS(Facturacion!$I$4:$I$724,Facturacion!$A$4:$A$724,$A35,Facturacion!$B$4:$B$724,L$2)</f>
        <v>0</v>
      </c>
      <c r="M35" s="5" t="n">
        <f aca="false">SUMIFS(Facturacion!$I$4:$I$724,Facturacion!$A$4:$A$724,$A35,Facturacion!$B$4:$B$724,M$2)</f>
        <v>0</v>
      </c>
      <c r="N35" s="12" t="n">
        <f aca="false">SUM(B35:M35)</f>
        <v>1436202</v>
      </c>
    </row>
    <row r="36" customFormat="false" ht="15" hidden="false" customHeight="false" outlineLevel="0" collapsed="false">
      <c r="A36" s="4" t="n">
        <v>46174</v>
      </c>
      <c r="B36" s="5" t="n">
        <f aca="false">SUMIFS(Facturacion!$I$4:$I$724,Facturacion!$A$4:$A$724,$A36,Facturacion!$B$4:$B$724,B$2)</f>
        <v>1147240</v>
      </c>
      <c r="C36" s="5" t="n">
        <f aca="false">SUMIFS(Facturacion!$I$4:$I$724,Facturacion!$A$4:$A$724,$A36,Facturacion!$B$4:$B$724,C$2)</f>
        <v>129065</v>
      </c>
      <c r="D36" s="5" t="n">
        <f aca="false">SUMIFS(Facturacion!$I$4:$I$724,Facturacion!$A$4:$A$724,$A36,Facturacion!$B$4:$B$724,D$2)</f>
        <v>23662</v>
      </c>
      <c r="E36" s="5" t="n">
        <f aca="false">SUMIFS(Facturacion!$I$4:$I$724,Facturacion!$A$4:$A$724,$A36,Facturacion!$B$4:$B$724,E$2)</f>
        <v>28681</v>
      </c>
      <c r="F36" s="5" t="n">
        <f aca="false">SUMIFS(Facturacion!$I$4:$I$724,Facturacion!$A$4:$A$724,$A36,Facturacion!$B$4:$B$724,F$2)</f>
        <v>215108</v>
      </c>
      <c r="G36" s="5" t="n">
        <f aca="false">SUMIFS(Facturacion!$I$4:$I$724,Facturacion!$A$4:$A$724,$A36,Facturacion!$B$4:$B$724,G$2)</f>
        <v>0</v>
      </c>
      <c r="H36" s="5" t="n">
        <f aca="false">SUMIFS(Facturacion!$I$4:$I$724,Facturacion!$A$4:$A$724,$A36,Facturacion!$B$4:$B$724,H$2)</f>
        <v>28681</v>
      </c>
      <c r="I36" s="5" t="n">
        <f aca="false">SUMIFS(Facturacion!$I$4:$I$724,Facturacion!$A$4:$A$724,$A36,Facturacion!$B$4:$B$724,I$2)</f>
        <v>35851</v>
      </c>
      <c r="J36" s="5" t="n">
        <f aca="false">SUMIFS(Facturacion!$I$4:$I$724,Facturacion!$A$4:$A$724,$A36,Facturacion!$B$4:$B$724,J$2)</f>
        <v>0</v>
      </c>
      <c r="K36" s="5" t="n">
        <f aca="false">SUMIFS(Facturacion!$I$4:$I$724,Facturacion!$A$4:$A$724,$A36,Facturacion!$B$4:$B$724,K$2)</f>
        <v>229448</v>
      </c>
      <c r="L36" s="5" t="n">
        <f aca="false">SUMIFS(Facturacion!$I$4:$I$724,Facturacion!$A$4:$A$724,$A36,Facturacion!$B$4:$B$724,L$2)</f>
        <v>0</v>
      </c>
      <c r="M36" s="5" t="n">
        <f aca="false">SUMIFS(Facturacion!$I$4:$I$724,Facturacion!$A$4:$A$724,$A36,Facturacion!$B$4:$B$724,M$2)</f>
        <v>0</v>
      </c>
      <c r="N36" s="12" t="n">
        <f aca="false">SUM(B36:M36)</f>
        <v>1837736</v>
      </c>
    </row>
    <row r="37" customFormat="false" ht="15" hidden="false" customHeight="false" outlineLevel="0" collapsed="false">
      <c r="A37" s="4" t="n">
        <v>46204</v>
      </c>
      <c r="B37" s="5" t="n">
        <f aca="false">SUMIFS(Facturacion!$I$4:$I$724,Facturacion!$A$4:$A$724,$A37,Facturacion!$B$4:$B$724,B$2)</f>
        <v>745706</v>
      </c>
      <c r="C37" s="5" t="n">
        <f aca="false">SUMIFS(Facturacion!$I$4:$I$724,Facturacion!$A$4:$A$724,$A37,Facturacion!$B$4:$B$724,C$2)</f>
        <v>129065</v>
      </c>
      <c r="D37" s="5" t="n">
        <f aca="false">SUMIFS(Facturacion!$I$4:$I$724,Facturacion!$A$4:$A$724,$A37,Facturacion!$B$4:$B$724,D$2)</f>
        <v>23662</v>
      </c>
      <c r="E37" s="5" t="n">
        <f aca="false">SUMIFS(Facturacion!$I$4:$I$724,Facturacion!$A$4:$A$724,$A37,Facturacion!$B$4:$B$724,E$2)</f>
        <v>28681</v>
      </c>
      <c r="F37" s="5" t="n">
        <f aca="false">SUMIFS(Facturacion!$I$4:$I$724,Facturacion!$A$4:$A$724,$A37,Facturacion!$B$4:$B$724,F$2)</f>
        <v>215108</v>
      </c>
      <c r="G37" s="5" t="n">
        <f aca="false">SUMIFS(Facturacion!$I$4:$I$724,Facturacion!$A$4:$A$724,$A37,Facturacion!$B$4:$B$724,G$2)</f>
        <v>0</v>
      </c>
      <c r="H37" s="5" t="n">
        <f aca="false">SUMIFS(Facturacion!$I$4:$I$724,Facturacion!$A$4:$A$724,$A37,Facturacion!$B$4:$B$724,H$2)</f>
        <v>28681</v>
      </c>
      <c r="I37" s="5" t="n">
        <f aca="false">SUMIFS(Facturacion!$I$4:$I$724,Facturacion!$A$4:$A$724,$A37,Facturacion!$B$4:$B$724,I$2)</f>
        <v>57362</v>
      </c>
      <c r="J37" s="5" t="n">
        <f aca="false">SUMIFS(Facturacion!$I$4:$I$724,Facturacion!$A$4:$A$724,$A37,Facturacion!$B$4:$B$724,J$2)</f>
        <v>0</v>
      </c>
      <c r="K37" s="5" t="n">
        <f aca="false">SUMIFS(Facturacion!$I$4:$I$724,Facturacion!$A$4:$A$724,$A37,Facturacion!$B$4:$B$724,K$2)</f>
        <v>222278</v>
      </c>
      <c r="L37" s="5" t="n">
        <f aca="false">SUMIFS(Facturacion!$I$4:$I$724,Facturacion!$A$4:$A$724,$A37,Facturacion!$B$4:$B$724,L$2)</f>
        <v>0</v>
      </c>
      <c r="M37" s="5" t="n">
        <f aca="false">SUMIFS(Facturacion!$I$4:$I$724,Facturacion!$A$4:$A$724,$A37,Facturacion!$B$4:$B$724,M$2)</f>
        <v>0</v>
      </c>
      <c r="N37" s="12" t="n">
        <f aca="false">SUM(B37:M37)</f>
        <v>1450543</v>
      </c>
    </row>
    <row r="38" customFormat="false" ht="15" hidden="false" customHeight="false" outlineLevel="0" collapsed="false">
      <c r="A38" s="4" t="n">
        <v>46235</v>
      </c>
      <c r="B38" s="5" t="n">
        <f aca="false">SUMIFS(Facturacion!$I$4:$I$724,Facturacion!$A$4:$A$724,$A38,Facturacion!$B$4:$B$724,B$2)</f>
        <v>788728</v>
      </c>
      <c r="C38" s="5" t="n">
        <f aca="false">SUMIFS(Facturacion!$I$4:$I$724,Facturacion!$A$4:$A$724,$A38,Facturacion!$B$4:$B$724,C$2)</f>
        <v>129065</v>
      </c>
      <c r="D38" s="5" t="n">
        <f aca="false">SUMIFS(Facturacion!$I$4:$I$724,Facturacion!$A$4:$A$724,$A38,Facturacion!$B$4:$B$724,D$2)</f>
        <v>23662</v>
      </c>
      <c r="E38" s="5" t="n">
        <f aca="false">SUMIFS(Facturacion!$I$4:$I$724,Facturacion!$A$4:$A$724,$A38,Facturacion!$B$4:$B$724,E$2)</f>
        <v>28681</v>
      </c>
      <c r="F38" s="5" t="n">
        <f aca="false">SUMIFS(Facturacion!$I$4:$I$724,Facturacion!$A$4:$A$724,$A38,Facturacion!$B$4:$B$724,F$2)</f>
        <v>222278</v>
      </c>
      <c r="G38" s="5" t="n">
        <f aca="false">SUMIFS(Facturacion!$I$4:$I$724,Facturacion!$A$4:$A$724,$A38,Facturacion!$B$4:$B$724,G$2)</f>
        <v>49475</v>
      </c>
      <c r="H38" s="5" t="n">
        <f aca="false">SUMIFS(Facturacion!$I$4:$I$724,Facturacion!$A$4:$A$724,$A38,Facturacion!$B$4:$B$724,H$2)</f>
        <v>21511</v>
      </c>
      <c r="I38" s="5" t="n">
        <f aca="false">SUMIFS(Facturacion!$I$4:$I$724,Facturacion!$A$4:$A$724,$A38,Facturacion!$B$4:$B$724,I$2)</f>
        <v>28681</v>
      </c>
      <c r="J38" s="5" t="n">
        <f aca="false">SUMIFS(Facturacion!$I$4:$I$724,Facturacion!$A$4:$A$724,$A38,Facturacion!$B$4:$B$724,J$2)</f>
        <v>0</v>
      </c>
      <c r="K38" s="5" t="n">
        <f aca="false">SUMIFS(Facturacion!$I$4:$I$724,Facturacion!$A$4:$A$724,$A38,Facturacion!$B$4:$B$724,K$2)</f>
        <v>236619</v>
      </c>
      <c r="L38" s="5" t="n">
        <f aca="false">SUMIFS(Facturacion!$I$4:$I$724,Facturacion!$A$4:$A$724,$A38,Facturacion!$B$4:$B$724,L$2)</f>
        <v>0</v>
      </c>
      <c r="M38" s="5" t="n">
        <f aca="false">SUMIFS(Facturacion!$I$4:$I$724,Facturacion!$A$4:$A$724,$A38,Facturacion!$B$4:$B$724,M$2)</f>
        <v>0</v>
      </c>
      <c r="N38" s="12" t="n">
        <f aca="false">SUM(B38:M38)</f>
        <v>1528700</v>
      </c>
    </row>
    <row r="39" customFormat="false" ht="15" hidden="false" customHeight="false" outlineLevel="0" collapsed="false">
      <c r="A39" s="4" t="n">
        <v>46266</v>
      </c>
      <c r="B39" s="5" t="n">
        <f aca="false">SUMIFS(Facturacion!$I$4:$I$724,Facturacion!$A$4:$A$724,$A39,Facturacion!$B$4:$B$724,B$2)</f>
        <v>788728</v>
      </c>
      <c r="C39" s="5" t="n">
        <f aca="false">SUMIFS(Facturacion!$I$4:$I$724,Facturacion!$A$4:$A$724,$A39,Facturacion!$B$4:$B$724,C$2)</f>
        <v>136235</v>
      </c>
      <c r="D39" s="5" t="n">
        <f aca="false">SUMIFS(Facturacion!$I$4:$I$724,Facturacion!$A$4:$A$724,$A39,Facturacion!$B$4:$B$724,D$2)</f>
        <v>23662</v>
      </c>
      <c r="E39" s="5" t="n">
        <f aca="false">SUMIFS(Facturacion!$I$4:$I$724,Facturacion!$A$4:$A$724,$A39,Facturacion!$B$4:$B$724,E$2)</f>
        <v>28681</v>
      </c>
      <c r="F39" s="5" t="n">
        <f aca="false">SUMIFS(Facturacion!$I$4:$I$724,Facturacion!$A$4:$A$724,$A39,Facturacion!$B$4:$B$724,F$2)</f>
        <v>215108</v>
      </c>
      <c r="G39" s="5" t="n">
        <f aca="false">SUMIFS(Facturacion!$I$4:$I$724,Facturacion!$A$4:$A$724,$A39,Facturacion!$B$4:$B$724,G$2)</f>
        <v>32983</v>
      </c>
      <c r="H39" s="5" t="n">
        <f aca="false">SUMIFS(Facturacion!$I$4:$I$724,Facturacion!$A$4:$A$724,$A39,Facturacion!$B$4:$B$724,H$2)</f>
        <v>21511</v>
      </c>
      <c r="I39" s="5" t="n">
        <f aca="false">SUMIFS(Facturacion!$I$4:$I$724,Facturacion!$A$4:$A$724,$A39,Facturacion!$B$4:$B$724,I$2)</f>
        <v>35851</v>
      </c>
      <c r="J39" s="5" t="n">
        <f aca="false">SUMIFS(Facturacion!$I$4:$I$724,Facturacion!$A$4:$A$724,$A39,Facturacion!$B$4:$B$724,J$2)</f>
        <v>0</v>
      </c>
      <c r="K39" s="5" t="n">
        <f aca="false">SUMIFS(Facturacion!$I$4:$I$724,Facturacion!$A$4:$A$724,$A39,Facturacion!$B$4:$B$724,K$2)</f>
        <v>258129</v>
      </c>
      <c r="L39" s="5" t="n">
        <f aca="false">SUMIFS(Facturacion!$I$4:$I$724,Facturacion!$A$4:$A$724,$A39,Facturacion!$B$4:$B$724,L$2)</f>
        <v>0</v>
      </c>
      <c r="M39" s="5" t="n">
        <f aca="false">SUMIFS(Facturacion!$I$4:$I$724,Facturacion!$A$4:$A$724,$A39,Facturacion!$B$4:$B$724,M$2)</f>
        <v>0</v>
      </c>
      <c r="N39" s="12" t="n">
        <f aca="false">SUM(B39:M39)</f>
        <v>1540888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2"/>
    <col collapsed="false" customWidth="true" hidden="false" outlineLevel="0" max="4" min="4" style="0" width="34"/>
    <col collapsed="false" customWidth="true" hidden="false" outlineLevel="0" max="5" min="5" style="0" width="52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16.15" hidden="false" customHeight="false" outlineLevel="0" collapsed="false">
      <c r="A1" s="1" t="s">
        <v>54</v>
      </c>
    </row>
    <row r="2" customFormat="false" ht="15" hidden="false" customHeight="false" outlineLevel="0" collapsed="false">
      <c r="A2" s="13" t="s">
        <v>55</v>
      </c>
    </row>
    <row r="3" customFormat="false" ht="28.35" hidden="false" customHeight="false" outlineLevel="0" collapsed="false">
      <c r="A3" s="2" t="s">
        <v>1</v>
      </c>
      <c r="B3" s="2" t="s">
        <v>56</v>
      </c>
      <c r="C3" s="2" t="s">
        <v>57</v>
      </c>
      <c r="D3" s="2" t="s">
        <v>58</v>
      </c>
      <c r="E3" s="2" t="s">
        <v>59</v>
      </c>
      <c r="F3" s="2" t="s">
        <v>60</v>
      </c>
      <c r="G3" s="2" t="s">
        <v>61</v>
      </c>
      <c r="H3" s="2" t="s">
        <v>62</v>
      </c>
      <c r="I3" s="2" t="s">
        <v>63</v>
      </c>
    </row>
    <row r="4" customFormat="false" ht="15" hidden="false" customHeight="false" outlineLevel="0" collapsed="false">
      <c r="A4" s="14" t="n">
        <v>45200</v>
      </c>
      <c r="B4" s="6" t="s">
        <v>29</v>
      </c>
      <c r="C4" s="6" t="s">
        <v>64</v>
      </c>
      <c r="D4" s="0" t="str">
        <f aca="false">INDEX(Clientes!$B$4:$B$15,MATCH(B4,Clientes!$A$4:$A$15,0))</f>
        <v>Distribuidora Los Andes S.A.</v>
      </c>
      <c r="E4" s="0" t="str">
        <f aca="false">INDEX(Catalogo_Servicios!$C$4:$C$24,MATCH(C4,Catalogo_Servicios!$A$4:$A$24,0))</f>
        <v>Estados financieros mensuales</v>
      </c>
      <c r="F4" s="15" t="n">
        <v>3</v>
      </c>
      <c r="G4" s="16" t="n">
        <f aca="false">Parametros!$B$4</f>
        <v>28681</v>
      </c>
      <c r="H4" s="15" t="n">
        <f aca="false">INDEX(Clientes!$E$4:$E$15,MATCH(B4,Clientes!$A$4:$A$15,0))</f>
        <v>1</v>
      </c>
      <c r="I4" s="16" t="n">
        <f aca="false">ROUND(F4*G4*H4,0)</f>
        <v>86043</v>
      </c>
    </row>
    <row r="5" customFormat="false" ht="15" hidden="false" customHeight="false" outlineLevel="0" collapsed="false">
      <c r="A5" s="14" t="n">
        <v>45200</v>
      </c>
      <c r="B5" s="6" t="s">
        <v>29</v>
      </c>
      <c r="C5" s="6" t="s">
        <v>65</v>
      </c>
      <c r="D5" s="0" t="str">
        <f aca="false">INDEX(Clientes!$B$4:$B$15,MATCH(B5,Clientes!$A$4:$A$15,0))</f>
        <v>Distribuidora Los Andes S.A.</v>
      </c>
      <c r="E5" s="0" t="str">
        <f aca="false">INDEX(Catalogo_Servicios!$C$4:$C$24,MATCH(C5,Catalogo_Servicios!$A$4:$A$24,0))</f>
        <v>Declaración mensual de IVA (D-104)</v>
      </c>
      <c r="F5" s="15" t="n">
        <v>0.75</v>
      </c>
      <c r="G5" s="16" t="n">
        <f aca="false">Parametros!$B$4</f>
        <v>28681</v>
      </c>
      <c r="H5" s="15" t="n">
        <f aca="false">INDEX(Clientes!$E$4:$E$15,MATCH(B5,Clientes!$A$4:$A$15,0))</f>
        <v>1</v>
      </c>
      <c r="I5" s="16" t="n">
        <f aca="false">ROUND(F5*G5*H5,0)</f>
        <v>21511</v>
      </c>
    </row>
    <row r="6" customFormat="false" ht="15" hidden="false" customHeight="false" outlineLevel="0" collapsed="false">
      <c r="A6" s="14" t="n">
        <v>45200</v>
      </c>
      <c r="B6" s="6" t="s">
        <v>29</v>
      </c>
      <c r="C6" s="6" t="s">
        <v>66</v>
      </c>
      <c r="D6" s="0" t="str">
        <f aca="false">INDEX(Clientes!$B$4:$B$15,MATCH(B6,Clientes!$A$4:$A$15,0))</f>
        <v>Distribuidora Los Andes S.A.</v>
      </c>
      <c r="E6" s="0" t="str">
        <f aca="false">INDEX(Catalogo_Servicios!$C$4:$C$24,MATCH(C6,Catalogo_Servicios!$A$4:$A$24,0))</f>
        <v>Declaración mensual de retenciones (D-103)</v>
      </c>
      <c r="F6" s="15" t="n">
        <v>0.25</v>
      </c>
      <c r="G6" s="16" t="n">
        <f aca="false">Parametros!$B$4</f>
        <v>28681</v>
      </c>
      <c r="H6" s="15" t="n">
        <f aca="false">INDEX(Clientes!$E$4:$E$15,MATCH(B6,Clientes!$A$4:$A$15,0))</f>
        <v>1</v>
      </c>
      <c r="I6" s="16" t="n">
        <f aca="false">ROUND(F6*G6*H6,0)</f>
        <v>7170</v>
      </c>
    </row>
    <row r="7" customFormat="false" ht="15" hidden="false" customHeight="false" outlineLevel="0" collapsed="false">
      <c r="A7" s="14" t="n">
        <v>45200</v>
      </c>
      <c r="B7" s="6" t="s">
        <v>29</v>
      </c>
      <c r="C7" s="6" t="s">
        <v>67</v>
      </c>
      <c r="D7" s="0" t="str">
        <f aca="false">INDEX(Clientes!$B$4:$B$15,MATCH(B7,Clientes!$A$4:$A$15,0))</f>
        <v>Distribuidora Los Andes S.A.</v>
      </c>
      <c r="E7" s="0" t="str">
        <f aca="false">INDEX(Catalogo_Servicios!$C$4:$C$24,MATCH(C7,Catalogo_Servicios!$A$4:$A$24,0))</f>
        <v>Cálculo de planillas y cargas sociales (CCSS/INS)</v>
      </c>
      <c r="F7" s="15" t="n">
        <v>20</v>
      </c>
      <c r="G7" s="16" t="n">
        <f aca="false">Parametros!$B$4</f>
        <v>28681</v>
      </c>
      <c r="H7" s="15" t="n">
        <f aca="false">INDEX(Clientes!$E$4:$E$15,MATCH(B7,Clientes!$A$4:$A$15,0))</f>
        <v>1</v>
      </c>
      <c r="I7" s="16" t="n">
        <f aca="false">ROUND(F7*G7*H7,0)</f>
        <v>573620</v>
      </c>
    </row>
    <row r="8" customFormat="false" ht="15" hidden="false" customHeight="false" outlineLevel="0" collapsed="false">
      <c r="A8" s="14" t="n">
        <v>45200</v>
      </c>
      <c r="B8" s="6" t="s">
        <v>30</v>
      </c>
      <c r="C8" s="6" t="s">
        <v>64</v>
      </c>
      <c r="D8" s="0" t="str">
        <f aca="false">INDEX(Clientes!$B$4:$B$15,MATCH(B8,Clientes!$A$4:$A$15,0))</f>
        <v>Ferretería El Tornillo</v>
      </c>
      <c r="E8" s="0" t="str">
        <f aca="false">INDEX(Catalogo_Servicios!$C$4:$C$24,MATCH(C8,Catalogo_Servicios!$A$4:$A$24,0))</f>
        <v>Estados financieros mensuales</v>
      </c>
      <c r="F8" s="15" t="n">
        <v>2.75</v>
      </c>
      <c r="G8" s="16" t="n">
        <f aca="false">Parametros!$B$4</f>
        <v>28681</v>
      </c>
      <c r="H8" s="15" t="n">
        <f aca="false">INDEX(Clientes!$E$4:$E$15,MATCH(B8,Clientes!$A$4:$A$15,0))</f>
        <v>1</v>
      </c>
      <c r="I8" s="16" t="n">
        <f aca="false">ROUND(F8*G8*H8,0)</f>
        <v>78873</v>
      </c>
    </row>
    <row r="9" customFormat="false" ht="15" hidden="false" customHeight="false" outlineLevel="0" collapsed="false">
      <c r="A9" s="14" t="n">
        <v>45200</v>
      </c>
      <c r="B9" s="6" t="s">
        <v>30</v>
      </c>
      <c r="C9" s="6" t="s">
        <v>65</v>
      </c>
      <c r="D9" s="0" t="str">
        <f aca="false">INDEX(Clientes!$B$4:$B$15,MATCH(B9,Clientes!$A$4:$A$15,0))</f>
        <v>Ferretería El Tornillo</v>
      </c>
      <c r="E9" s="0" t="str">
        <f aca="false">INDEX(Catalogo_Servicios!$C$4:$C$24,MATCH(C9,Catalogo_Servicios!$A$4:$A$24,0))</f>
        <v>Declaración mensual de IVA (D-104)</v>
      </c>
      <c r="F9" s="15" t="n">
        <v>0.75</v>
      </c>
      <c r="G9" s="16" t="n">
        <f aca="false">Parametros!$B$4</f>
        <v>28681</v>
      </c>
      <c r="H9" s="15" t="n">
        <f aca="false">INDEX(Clientes!$E$4:$E$15,MATCH(B9,Clientes!$A$4:$A$15,0))</f>
        <v>1</v>
      </c>
      <c r="I9" s="16" t="n">
        <f aca="false">ROUND(F9*G9*H9,0)</f>
        <v>21511</v>
      </c>
    </row>
    <row r="10" customFormat="false" ht="15" hidden="false" customHeight="false" outlineLevel="0" collapsed="false">
      <c r="A10" s="14" t="n">
        <v>45200</v>
      </c>
      <c r="B10" s="6" t="s">
        <v>30</v>
      </c>
      <c r="C10" s="6" t="s">
        <v>66</v>
      </c>
      <c r="D10" s="0" t="str">
        <f aca="false">INDEX(Clientes!$B$4:$B$15,MATCH(B10,Clientes!$A$4:$A$15,0))</f>
        <v>Ferretería El Tornillo</v>
      </c>
      <c r="E10" s="0" t="str">
        <f aca="false">INDEX(Catalogo_Servicios!$C$4:$C$24,MATCH(C10,Catalogo_Servicios!$A$4:$A$24,0))</f>
        <v>Declaración mensual de retenciones (D-103)</v>
      </c>
      <c r="F10" s="15" t="n">
        <v>0.25</v>
      </c>
      <c r="G10" s="16" t="n">
        <f aca="false">Parametros!$B$4</f>
        <v>28681</v>
      </c>
      <c r="H10" s="15" t="n">
        <f aca="false">INDEX(Clientes!$E$4:$E$15,MATCH(B10,Clientes!$A$4:$A$15,0))</f>
        <v>1</v>
      </c>
      <c r="I10" s="16" t="n">
        <f aca="false">ROUND(F10*G10*H10,0)</f>
        <v>7170</v>
      </c>
    </row>
    <row r="11" customFormat="false" ht="15" hidden="false" customHeight="false" outlineLevel="0" collapsed="false">
      <c r="A11" s="14" t="n">
        <v>45200</v>
      </c>
      <c r="B11" s="6" t="s">
        <v>31</v>
      </c>
      <c r="C11" s="6" t="s">
        <v>65</v>
      </c>
      <c r="D11" s="0" t="str">
        <f aca="false">INDEX(Clientes!$B$4:$B$15,MATCH(B11,Clientes!$A$4:$A$15,0))</f>
        <v>Clínica Dental Sonrisa</v>
      </c>
      <c r="E11" s="0" t="str">
        <f aca="false">INDEX(Catalogo_Servicios!$C$4:$C$24,MATCH(C11,Catalogo_Servicios!$A$4:$A$24,0))</f>
        <v>Declaración mensual de IVA (D-104)</v>
      </c>
      <c r="F11" s="15" t="n">
        <v>0.75</v>
      </c>
      <c r="G11" s="16" t="n">
        <f aca="false">Parametros!$B$4</f>
        <v>28681</v>
      </c>
      <c r="H11" s="15" t="n">
        <f aca="false">INDEX(Clientes!$E$4:$E$15,MATCH(B11,Clientes!$A$4:$A$15,0))</f>
        <v>1.1</v>
      </c>
      <c r="I11" s="16" t="n">
        <f aca="false">ROUND(F11*G11*H11,0)</f>
        <v>23662</v>
      </c>
    </row>
    <row r="12" customFormat="false" ht="15" hidden="false" customHeight="false" outlineLevel="0" collapsed="false">
      <c r="A12" s="14" t="n">
        <v>45200</v>
      </c>
      <c r="B12" s="6" t="s">
        <v>32</v>
      </c>
      <c r="C12" s="6" t="s">
        <v>65</v>
      </c>
      <c r="D12" s="0" t="str">
        <f aca="false">INDEX(Clientes!$B$4:$B$15,MATCH(B12,Clientes!$A$4:$A$15,0))</f>
        <v>Soda y Restaurante Doña Lela</v>
      </c>
      <c r="E12" s="0" t="str">
        <f aca="false">INDEX(Catalogo_Servicios!$C$4:$C$24,MATCH(C12,Catalogo_Servicios!$A$4:$A$24,0))</f>
        <v>Declaración mensual de IVA (D-104)</v>
      </c>
      <c r="F12" s="15" t="n">
        <v>0.75</v>
      </c>
      <c r="G12" s="16" t="n">
        <f aca="false">Parametros!$B$4</f>
        <v>28681</v>
      </c>
      <c r="H12" s="15" t="n">
        <f aca="false">INDEX(Clientes!$E$4:$E$15,MATCH(B12,Clientes!$A$4:$A$15,0))</f>
        <v>1</v>
      </c>
      <c r="I12" s="16" t="n">
        <f aca="false">ROUND(F12*G12*H12,0)</f>
        <v>21511</v>
      </c>
    </row>
    <row r="13" customFormat="false" ht="15" hidden="false" customHeight="false" outlineLevel="0" collapsed="false">
      <c r="A13" s="14" t="n">
        <v>45200</v>
      </c>
      <c r="B13" s="6" t="s">
        <v>33</v>
      </c>
      <c r="C13" s="6" t="s">
        <v>68</v>
      </c>
      <c r="D13" s="0" t="str">
        <f aca="false">INDEX(Clientes!$B$4:$B$15,MATCH(B13,Clientes!$A$4:$A$15,0))</f>
        <v>Transportes Rápidos del Valle</v>
      </c>
      <c r="E13" s="0" t="str">
        <f aca="false">INDEX(Catalogo_Servicios!$C$4:$C$24,MATCH(C13,Catalogo_Servicios!$A$4:$A$24,0))</f>
        <v>Asesoría contable, financiera y tributaria</v>
      </c>
      <c r="F13" s="15" t="n">
        <v>1</v>
      </c>
      <c r="G13" s="16" t="n">
        <f aca="false">Parametros!$B$4</f>
        <v>28681</v>
      </c>
      <c r="H13" s="15" t="n">
        <f aca="false">INDEX(Clientes!$E$4:$E$15,MATCH(B13,Clientes!$A$4:$A$15,0))</f>
        <v>1</v>
      </c>
      <c r="I13" s="16" t="n">
        <f aca="false">ROUND(F13*G13*H13,0)</f>
        <v>28681</v>
      </c>
    </row>
    <row r="14" customFormat="false" ht="15" hidden="false" customHeight="false" outlineLevel="0" collapsed="false">
      <c r="A14" s="14" t="n">
        <v>45200</v>
      </c>
      <c r="B14" s="6" t="s">
        <v>33</v>
      </c>
      <c r="C14" s="6" t="s">
        <v>65</v>
      </c>
      <c r="D14" s="0" t="str">
        <f aca="false">INDEX(Clientes!$B$4:$B$15,MATCH(B14,Clientes!$A$4:$A$15,0))</f>
        <v>Transportes Rápidos del Valle</v>
      </c>
      <c r="E14" s="0" t="str">
        <f aca="false">INDEX(Catalogo_Servicios!$C$4:$C$24,MATCH(C14,Catalogo_Servicios!$A$4:$A$24,0))</f>
        <v>Declaración mensual de IVA (D-104)</v>
      </c>
      <c r="F14" s="15" t="n">
        <v>0.75</v>
      </c>
      <c r="G14" s="16" t="n">
        <f aca="false">Parametros!$B$4</f>
        <v>28681</v>
      </c>
      <c r="H14" s="15" t="n">
        <f aca="false">INDEX(Clientes!$E$4:$E$15,MATCH(B14,Clientes!$A$4:$A$15,0))</f>
        <v>1</v>
      </c>
      <c r="I14" s="16" t="n">
        <f aca="false">ROUND(F14*G14*H14,0)</f>
        <v>21511</v>
      </c>
    </row>
    <row r="15" customFormat="false" ht="15" hidden="false" customHeight="false" outlineLevel="0" collapsed="false">
      <c r="A15" s="14" t="n">
        <v>45200</v>
      </c>
      <c r="B15" s="6" t="s">
        <v>33</v>
      </c>
      <c r="C15" s="6" t="s">
        <v>66</v>
      </c>
      <c r="D15" s="0" t="str">
        <f aca="false">INDEX(Clientes!$B$4:$B$15,MATCH(B15,Clientes!$A$4:$A$15,0))</f>
        <v>Transportes Rápidos del Valle</v>
      </c>
      <c r="E15" s="0" t="str">
        <f aca="false">INDEX(Catalogo_Servicios!$C$4:$C$24,MATCH(C15,Catalogo_Servicios!$A$4:$A$24,0))</f>
        <v>Declaración mensual de retenciones (D-103)</v>
      </c>
      <c r="F15" s="15" t="n">
        <v>0.25</v>
      </c>
      <c r="G15" s="16" t="n">
        <f aca="false">Parametros!$B$4</f>
        <v>28681</v>
      </c>
      <c r="H15" s="15" t="n">
        <f aca="false">INDEX(Clientes!$E$4:$E$15,MATCH(B15,Clientes!$A$4:$A$15,0))</f>
        <v>1</v>
      </c>
      <c r="I15" s="16" t="n">
        <f aca="false">ROUND(F15*G15*H15,0)</f>
        <v>7170</v>
      </c>
    </row>
    <row r="16" customFormat="false" ht="15" hidden="false" customHeight="false" outlineLevel="0" collapsed="false">
      <c r="A16" s="14" t="n">
        <v>45200</v>
      </c>
      <c r="B16" s="6" t="s">
        <v>33</v>
      </c>
      <c r="C16" s="6" t="s">
        <v>67</v>
      </c>
      <c r="D16" s="0" t="str">
        <f aca="false">INDEX(Clientes!$B$4:$B$15,MATCH(B16,Clientes!$A$4:$A$15,0))</f>
        <v>Transportes Rápidos del Valle</v>
      </c>
      <c r="E16" s="0" t="str">
        <f aca="false">INDEX(Catalogo_Servicios!$C$4:$C$24,MATCH(C16,Catalogo_Servicios!$A$4:$A$24,0))</f>
        <v>Cálculo de planillas y cargas sociales (CCSS/INS)</v>
      </c>
      <c r="F16" s="15" t="n">
        <v>5.5</v>
      </c>
      <c r="G16" s="16" t="n">
        <f aca="false">Parametros!$B$4</f>
        <v>28681</v>
      </c>
      <c r="H16" s="15" t="n">
        <f aca="false">INDEX(Clientes!$E$4:$E$15,MATCH(B16,Clientes!$A$4:$A$15,0))</f>
        <v>1</v>
      </c>
      <c r="I16" s="16" t="n">
        <f aca="false">ROUND(F16*G16*H16,0)</f>
        <v>157746</v>
      </c>
    </row>
    <row r="17" customFormat="false" ht="15" hidden="false" customHeight="false" outlineLevel="0" collapsed="false">
      <c r="A17" s="14" t="n">
        <v>45200</v>
      </c>
      <c r="B17" s="6" t="s">
        <v>35</v>
      </c>
      <c r="C17" s="6" t="s">
        <v>65</v>
      </c>
      <c r="D17" s="0" t="str">
        <f aca="false">INDEX(Clientes!$B$4:$B$15,MATCH(B17,Clientes!$A$4:$A$15,0))</f>
        <v>Taller Mecánico Hermanos Mora</v>
      </c>
      <c r="E17" s="0" t="str">
        <f aca="false">INDEX(Catalogo_Servicios!$C$4:$C$24,MATCH(C17,Catalogo_Servicios!$A$4:$A$24,0))</f>
        <v>Declaración mensual de IVA (D-104)</v>
      </c>
      <c r="F17" s="15" t="n">
        <v>0.75</v>
      </c>
      <c r="G17" s="16" t="n">
        <f aca="false">Parametros!$B$4</f>
        <v>28681</v>
      </c>
      <c r="H17" s="15" t="n">
        <f aca="false">INDEX(Clientes!$E$4:$E$15,MATCH(B17,Clientes!$A$4:$A$15,0))</f>
        <v>1</v>
      </c>
      <c r="I17" s="16" t="n">
        <f aca="false">ROUND(F17*G17*H17,0)</f>
        <v>21511</v>
      </c>
    </row>
    <row r="18" customFormat="false" ht="15" hidden="false" customHeight="false" outlineLevel="0" collapsed="false">
      <c r="A18" s="14" t="n">
        <v>45200</v>
      </c>
      <c r="B18" s="6" t="s">
        <v>36</v>
      </c>
      <c r="C18" s="6" t="s">
        <v>65</v>
      </c>
      <c r="D18" s="0" t="str">
        <f aca="false">INDEX(Clientes!$B$4:$B$15,MATCH(B18,Clientes!$A$4:$A$15,0))</f>
        <v>Agroservicios Cartago</v>
      </c>
      <c r="E18" s="0" t="str">
        <f aca="false">INDEX(Catalogo_Servicios!$C$4:$C$24,MATCH(C18,Catalogo_Servicios!$A$4:$A$24,0))</f>
        <v>Declaración mensual de IVA (D-104)</v>
      </c>
      <c r="F18" s="15" t="n">
        <v>0.75</v>
      </c>
      <c r="G18" s="16" t="n">
        <f aca="false">Parametros!$B$4</f>
        <v>28681</v>
      </c>
      <c r="H18" s="15" t="n">
        <f aca="false">INDEX(Clientes!$E$4:$E$15,MATCH(B18,Clientes!$A$4:$A$15,0))</f>
        <v>1</v>
      </c>
      <c r="I18" s="16" t="n">
        <f aca="false">ROUND(F18*G18*H18,0)</f>
        <v>21511</v>
      </c>
    </row>
    <row r="19" customFormat="false" ht="15" hidden="false" customHeight="false" outlineLevel="0" collapsed="false">
      <c r="A19" s="14" t="n">
        <v>45200</v>
      </c>
      <c r="B19" s="6" t="s">
        <v>36</v>
      </c>
      <c r="C19" s="6" t="s">
        <v>66</v>
      </c>
      <c r="D19" s="0" t="str">
        <f aca="false">INDEX(Clientes!$B$4:$B$15,MATCH(B19,Clientes!$A$4:$A$15,0))</f>
        <v>Agroservicios Cartago</v>
      </c>
      <c r="E19" s="0" t="str">
        <f aca="false">INDEX(Catalogo_Servicios!$C$4:$C$24,MATCH(C19,Catalogo_Servicios!$A$4:$A$24,0))</f>
        <v>Declaración mensual de retenciones (D-103)</v>
      </c>
      <c r="F19" s="15" t="n">
        <v>0.25</v>
      </c>
      <c r="G19" s="16" t="n">
        <f aca="false">Parametros!$B$4</f>
        <v>28681</v>
      </c>
      <c r="H19" s="15" t="n">
        <f aca="false">INDEX(Clientes!$E$4:$E$15,MATCH(B19,Clientes!$A$4:$A$15,0))</f>
        <v>1</v>
      </c>
      <c r="I19" s="16" t="n">
        <f aca="false">ROUND(F19*G19*H19,0)</f>
        <v>7170</v>
      </c>
    </row>
    <row r="20" customFormat="false" ht="15" hidden="false" customHeight="false" outlineLevel="0" collapsed="false">
      <c r="A20" s="14" t="n">
        <v>45200</v>
      </c>
      <c r="B20" s="6" t="s">
        <v>38</v>
      </c>
      <c r="C20" s="6" t="s">
        <v>65</v>
      </c>
      <c r="D20" s="0" t="str">
        <f aca="false">INDEX(Clientes!$B$4:$B$15,MATCH(B20,Clientes!$A$4:$A$15,0))</f>
        <v>Panadería La Espiga</v>
      </c>
      <c r="E20" s="0" t="str">
        <f aca="false">INDEX(Catalogo_Servicios!$C$4:$C$24,MATCH(C20,Catalogo_Servicios!$A$4:$A$24,0))</f>
        <v>Declaración mensual de IVA (D-104)</v>
      </c>
      <c r="F20" s="15" t="n">
        <v>0.75</v>
      </c>
      <c r="G20" s="16" t="n">
        <f aca="false">Parametros!$B$4</f>
        <v>28681</v>
      </c>
      <c r="H20" s="15" t="n">
        <f aca="false">INDEX(Clientes!$E$4:$E$15,MATCH(B20,Clientes!$A$4:$A$15,0))</f>
        <v>1</v>
      </c>
      <c r="I20" s="16" t="n">
        <f aca="false">ROUND(F20*G20*H20,0)</f>
        <v>21511</v>
      </c>
    </row>
    <row r="21" customFormat="false" ht="15" hidden="false" customHeight="false" outlineLevel="0" collapsed="false">
      <c r="A21" s="14" t="n">
        <v>45200</v>
      </c>
      <c r="B21" s="6" t="s">
        <v>38</v>
      </c>
      <c r="C21" s="6" t="s">
        <v>67</v>
      </c>
      <c r="D21" s="0" t="str">
        <f aca="false">INDEX(Clientes!$B$4:$B$15,MATCH(B21,Clientes!$A$4:$A$15,0))</f>
        <v>Panadería La Espiga</v>
      </c>
      <c r="E21" s="0" t="str">
        <f aca="false">INDEX(Catalogo_Servicios!$C$4:$C$24,MATCH(C21,Catalogo_Servicios!$A$4:$A$24,0))</f>
        <v>Cálculo de planillas y cargas sociales (CCSS/INS)</v>
      </c>
      <c r="F21" s="15" t="n">
        <v>7</v>
      </c>
      <c r="G21" s="16" t="n">
        <f aca="false">Parametros!$B$4</f>
        <v>28681</v>
      </c>
      <c r="H21" s="15" t="n">
        <f aca="false">INDEX(Clientes!$E$4:$E$15,MATCH(B21,Clientes!$A$4:$A$15,0))</f>
        <v>1</v>
      </c>
      <c r="I21" s="16" t="n">
        <f aca="false">ROUND(F21*G21*H21,0)</f>
        <v>200767</v>
      </c>
    </row>
    <row r="22" customFormat="false" ht="15" hidden="false" customHeight="false" outlineLevel="0" collapsed="false">
      <c r="A22" s="14" t="n">
        <v>45231</v>
      </c>
      <c r="B22" s="6" t="s">
        <v>29</v>
      </c>
      <c r="C22" s="6" t="s">
        <v>64</v>
      </c>
      <c r="D22" s="0" t="str">
        <f aca="false">INDEX(Clientes!$B$4:$B$15,MATCH(B22,Clientes!$A$4:$A$15,0))</f>
        <v>Distribuidora Los Andes S.A.</v>
      </c>
      <c r="E22" s="0" t="str">
        <f aca="false">INDEX(Catalogo_Servicios!$C$4:$C$24,MATCH(C22,Catalogo_Servicios!$A$4:$A$24,0))</f>
        <v>Estados financieros mensuales</v>
      </c>
      <c r="F22" s="15" t="n">
        <v>3</v>
      </c>
      <c r="G22" s="16" t="n">
        <f aca="false">Parametros!$B$4</f>
        <v>28681</v>
      </c>
      <c r="H22" s="15" t="n">
        <f aca="false">INDEX(Clientes!$E$4:$E$15,MATCH(B22,Clientes!$A$4:$A$15,0))</f>
        <v>1</v>
      </c>
      <c r="I22" s="16" t="n">
        <f aca="false">ROUND(F22*G22*H22,0)</f>
        <v>86043</v>
      </c>
    </row>
    <row r="23" customFormat="false" ht="15" hidden="false" customHeight="false" outlineLevel="0" collapsed="false">
      <c r="A23" s="14" t="n">
        <v>45231</v>
      </c>
      <c r="B23" s="6" t="s">
        <v>29</v>
      </c>
      <c r="C23" s="6" t="s">
        <v>65</v>
      </c>
      <c r="D23" s="0" t="str">
        <f aca="false">INDEX(Clientes!$B$4:$B$15,MATCH(B23,Clientes!$A$4:$A$15,0))</f>
        <v>Distribuidora Los Andes S.A.</v>
      </c>
      <c r="E23" s="0" t="str">
        <f aca="false">INDEX(Catalogo_Servicios!$C$4:$C$24,MATCH(C23,Catalogo_Servicios!$A$4:$A$24,0))</f>
        <v>Declaración mensual de IVA (D-104)</v>
      </c>
      <c r="F23" s="15" t="n">
        <v>0.75</v>
      </c>
      <c r="G23" s="16" t="n">
        <f aca="false">Parametros!$B$4</f>
        <v>28681</v>
      </c>
      <c r="H23" s="15" t="n">
        <f aca="false">INDEX(Clientes!$E$4:$E$15,MATCH(B23,Clientes!$A$4:$A$15,0))</f>
        <v>1</v>
      </c>
      <c r="I23" s="16" t="n">
        <f aca="false">ROUND(F23*G23*H23,0)</f>
        <v>21511</v>
      </c>
    </row>
    <row r="24" customFormat="false" ht="15" hidden="false" customHeight="false" outlineLevel="0" collapsed="false">
      <c r="A24" s="14" t="n">
        <v>45231</v>
      </c>
      <c r="B24" s="6" t="s">
        <v>29</v>
      </c>
      <c r="C24" s="6" t="s">
        <v>66</v>
      </c>
      <c r="D24" s="0" t="str">
        <f aca="false">INDEX(Clientes!$B$4:$B$15,MATCH(B24,Clientes!$A$4:$A$15,0))</f>
        <v>Distribuidora Los Andes S.A.</v>
      </c>
      <c r="E24" s="0" t="str">
        <f aca="false">INDEX(Catalogo_Servicios!$C$4:$C$24,MATCH(C24,Catalogo_Servicios!$A$4:$A$24,0))</f>
        <v>Declaración mensual de retenciones (D-103)</v>
      </c>
      <c r="F24" s="15" t="n">
        <v>0.25</v>
      </c>
      <c r="G24" s="16" t="n">
        <f aca="false">Parametros!$B$4</f>
        <v>28681</v>
      </c>
      <c r="H24" s="15" t="n">
        <f aca="false">INDEX(Clientes!$E$4:$E$15,MATCH(B24,Clientes!$A$4:$A$15,0))</f>
        <v>1</v>
      </c>
      <c r="I24" s="16" t="n">
        <f aca="false">ROUND(F24*G24*H24,0)</f>
        <v>7170</v>
      </c>
    </row>
    <row r="25" customFormat="false" ht="15" hidden="false" customHeight="false" outlineLevel="0" collapsed="false">
      <c r="A25" s="14" t="n">
        <v>45231</v>
      </c>
      <c r="B25" s="6" t="s">
        <v>29</v>
      </c>
      <c r="C25" s="6" t="s">
        <v>67</v>
      </c>
      <c r="D25" s="0" t="str">
        <f aca="false">INDEX(Clientes!$B$4:$B$15,MATCH(B25,Clientes!$A$4:$A$15,0))</f>
        <v>Distribuidora Los Andes S.A.</v>
      </c>
      <c r="E25" s="0" t="str">
        <f aca="false">INDEX(Catalogo_Servicios!$C$4:$C$24,MATCH(C25,Catalogo_Servicios!$A$4:$A$24,0))</f>
        <v>Cálculo de planillas y cargas sociales (CCSS/INS)</v>
      </c>
      <c r="F25" s="15" t="n">
        <v>20.5</v>
      </c>
      <c r="G25" s="16" t="n">
        <f aca="false">Parametros!$B$4</f>
        <v>28681</v>
      </c>
      <c r="H25" s="15" t="n">
        <f aca="false">INDEX(Clientes!$E$4:$E$15,MATCH(B25,Clientes!$A$4:$A$15,0))</f>
        <v>1</v>
      </c>
      <c r="I25" s="16" t="n">
        <f aca="false">ROUND(F25*G25*H25,0)</f>
        <v>587961</v>
      </c>
    </row>
    <row r="26" customFormat="false" ht="15" hidden="false" customHeight="false" outlineLevel="0" collapsed="false">
      <c r="A26" s="14" t="n">
        <v>45231</v>
      </c>
      <c r="B26" s="6" t="s">
        <v>30</v>
      </c>
      <c r="C26" s="6" t="s">
        <v>64</v>
      </c>
      <c r="D26" s="0" t="str">
        <f aca="false">INDEX(Clientes!$B$4:$B$15,MATCH(B26,Clientes!$A$4:$A$15,0))</f>
        <v>Ferretería El Tornillo</v>
      </c>
      <c r="E26" s="0" t="str">
        <f aca="false">INDEX(Catalogo_Servicios!$C$4:$C$24,MATCH(C26,Catalogo_Servicios!$A$4:$A$24,0))</f>
        <v>Estados financieros mensuales</v>
      </c>
      <c r="F26" s="15" t="n">
        <v>3</v>
      </c>
      <c r="G26" s="16" t="n">
        <f aca="false">Parametros!$B$4</f>
        <v>28681</v>
      </c>
      <c r="H26" s="15" t="n">
        <f aca="false">INDEX(Clientes!$E$4:$E$15,MATCH(B26,Clientes!$A$4:$A$15,0))</f>
        <v>1</v>
      </c>
      <c r="I26" s="16" t="n">
        <f aca="false">ROUND(F26*G26*H26,0)</f>
        <v>86043</v>
      </c>
    </row>
    <row r="27" customFormat="false" ht="15" hidden="false" customHeight="false" outlineLevel="0" collapsed="false">
      <c r="A27" s="14" t="n">
        <v>45231</v>
      </c>
      <c r="B27" s="6" t="s">
        <v>30</v>
      </c>
      <c r="C27" s="6" t="s">
        <v>65</v>
      </c>
      <c r="D27" s="0" t="str">
        <f aca="false">INDEX(Clientes!$B$4:$B$15,MATCH(B27,Clientes!$A$4:$A$15,0))</f>
        <v>Ferretería El Tornillo</v>
      </c>
      <c r="E27" s="0" t="str">
        <f aca="false">INDEX(Catalogo_Servicios!$C$4:$C$24,MATCH(C27,Catalogo_Servicios!$A$4:$A$24,0))</f>
        <v>Declaración mensual de IVA (D-104)</v>
      </c>
      <c r="F27" s="15" t="n">
        <v>0.75</v>
      </c>
      <c r="G27" s="16" t="n">
        <f aca="false">Parametros!$B$4</f>
        <v>28681</v>
      </c>
      <c r="H27" s="15" t="n">
        <f aca="false">INDEX(Clientes!$E$4:$E$15,MATCH(B27,Clientes!$A$4:$A$15,0))</f>
        <v>1</v>
      </c>
      <c r="I27" s="16" t="n">
        <f aca="false">ROUND(F27*G27*H27,0)</f>
        <v>21511</v>
      </c>
    </row>
    <row r="28" customFormat="false" ht="15" hidden="false" customHeight="false" outlineLevel="0" collapsed="false">
      <c r="A28" s="14" t="n">
        <v>45231</v>
      </c>
      <c r="B28" s="6" t="s">
        <v>30</v>
      </c>
      <c r="C28" s="6" t="s">
        <v>66</v>
      </c>
      <c r="D28" s="0" t="str">
        <f aca="false">INDEX(Clientes!$B$4:$B$15,MATCH(B28,Clientes!$A$4:$A$15,0))</f>
        <v>Ferretería El Tornillo</v>
      </c>
      <c r="E28" s="0" t="str">
        <f aca="false">INDEX(Catalogo_Servicios!$C$4:$C$24,MATCH(C28,Catalogo_Servicios!$A$4:$A$24,0))</f>
        <v>Declaración mensual de retenciones (D-103)</v>
      </c>
      <c r="F28" s="15" t="n">
        <v>0.25</v>
      </c>
      <c r="G28" s="16" t="n">
        <f aca="false">Parametros!$B$4</f>
        <v>28681</v>
      </c>
      <c r="H28" s="15" t="n">
        <f aca="false">INDEX(Clientes!$E$4:$E$15,MATCH(B28,Clientes!$A$4:$A$15,0))</f>
        <v>1</v>
      </c>
      <c r="I28" s="16" t="n">
        <f aca="false">ROUND(F28*G28*H28,0)</f>
        <v>7170</v>
      </c>
    </row>
    <row r="29" customFormat="false" ht="15" hidden="false" customHeight="false" outlineLevel="0" collapsed="false">
      <c r="A29" s="14" t="n">
        <v>45231</v>
      </c>
      <c r="B29" s="6" t="s">
        <v>31</v>
      </c>
      <c r="C29" s="6" t="s">
        <v>65</v>
      </c>
      <c r="D29" s="0" t="str">
        <f aca="false">INDEX(Clientes!$B$4:$B$15,MATCH(B29,Clientes!$A$4:$A$15,0))</f>
        <v>Clínica Dental Sonrisa</v>
      </c>
      <c r="E29" s="0" t="str">
        <f aca="false">INDEX(Catalogo_Servicios!$C$4:$C$24,MATCH(C29,Catalogo_Servicios!$A$4:$A$24,0))</f>
        <v>Declaración mensual de IVA (D-104)</v>
      </c>
      <c r="F29" s="15" t="n">
        <v>0.75</v>
      </c>
      <c r="G29" s="16" t="n">
        <f aca="false">Parametros!$B$4</f>
        <v>28681</v>
      </c>
      <c r="H29" s="15" t="n">
        <f aca="false">INDEX(Clientes!$E$4:$E$15,MATCH(B29,Clientes!$A$4:$A$15,0))</f>
        <v>1.1</v>
      </c>
      <c r="I29" s="16" t="n">
        <f aca="false">ROUND(F29*G29*H29,0)</f>
        <v>23662</v>
      </c>
    </row>
    <row r="30" customFormat="false" ht="15" hidden="false" customHeight="false" outlineLevel="0" collapsed="false">
      <c r="A30" s="14" t="n">
        <v>45231</v>
      </c>
      <c r="B30" s="6" t="s">
        <v>32</v>
      </c>
      <c r="C30" s="6" t="s">
        <v>65</v>
      </c>
      <c r="D30" s="0" t="str">
        <f aca="false">INDEX(Clientes!$B$4:$B$15,MATCH(B30,Clientes!$A$4:$A$15,0))</f>
        <v>Soda y Restaurante Doña Lela</v>
      </c>
      <c r="E30" s="0" t="str">
        <f aca="false">INDEX(Catalogo_Servicios!$C$4:$C$24,MATCH(C30,Catalogo_Servicios!$A$4:$A$24,0))</f>
        <v>Declaración mensual de IVA (D-104)</v>
      </c>
      <c r="F30" s="15" t="n">
        <v>0.75</v>
      </c>
      <c r="G30" s="16" t="n">
        <f aca="false">Parametros!$B$4</f>
        <v>28681</v>
      </c>
      <c r="H30" s="15" t="n">
        <f aca="false">INDEX(Clientes!$E$4:$E$15,MATCH(B30,Clientes!$A$4:$A$15,0))</f>
        <v>1</v>
      </c>
      <c r="I30" s="16" t="n">
        <f aca="false">ROUND(F30*G30*H30,0)</f>
        <v>21511</v>
      </c>
    </row>
    <row r="31" customFormat="false" ht="15" hidden="false" customHeight="false" outlineLevel="0" collapsed="false">
      <c r="A31" s="14" t="n">
        <v>45231</v>
      </c>
      <c r="B31" s="6" t="s">
        <v>33</v>
      </c>
      <c r="C31" s="6" t="s">
        <v>65</v>
      </c>
      <c r="D31" s="0" t="str">
        <f aca="false">INDEX(Clientes!$B$4:$B$15,MATCH(B31,Clientes!$A$4:$A$15,0))</f>
        <v>Transportes Rápidos del Valle</v>
      </c>
      <c r="E31" s="0" t="str">
        <f aca="false">INDEX(Catalogo_Servicios!$C$4:$C$24,MATCH(C31,Catalogo_Servicios!$A$4:$A$24,0))</f>
        <v>Declaración mensual de IVA (D-104)</v>
      </c>
      <c r="F31" s="15" t="n">
        <v>0.75</v>
      </c>
      <c r="G31" s="16" t="n">
        <f aca="false">Parametros!$B$4</f>
        <v>28681</v>
      </c>
      <c r="H31" s="15" t="n">
        <f aca="false">INDEX(Clientes!$E$4:$E$15,MATCH(B31,Clientes!$A$4:$A$15,0))</f>
        <v>1</v>
      </c>
      <c r="I31" s="16" t="n">
        <f aca="false">ROUND(F31*G31*H31,0)</f>
        <v>21511</v>
      </c>
    </row>
    <row r="32" customFormat="false" ht="15" hidden="false" customHeight="false" outlineLevel="0" collapsed="false">
      <c r="A32" s="14" t="n">
        <v>45231</v>
      </c>
      <c r="B32" s="6" t="s">
        <v>33</v>
      </c>
      <c r="C32" s="6" t="s">
        <v>66</v>
      </c>
      <c r="D32" s="0" t="str">
        <f aca="false">INDEX(Clientes!$B$4:$B$15,MATCH(B32,Clientes!$A$4:$A$15,0))</f>
        <v>Transportes Rápidos del Valle</v>
      </c>
      <c r="E32" s="0" t="str">
        <f aca="false">INDEX(Catalogo_Servicios!$C$4:$C$24,MATCH(C32,Catalogo_Servicios!$A$4:$A$24,0))</f>
        <v>Declaración mensual de retenciones (D-103)</v>
      </c>
      <c r="F32" s="15" t="n">
        <v>0.25</v>
      </c>
      <c r="G32" s="16" t="n">
        <f aca="false">Parametros!$B$4</f>
        <v>28681</v>
      </c>
      <c r="H32" s="15" t="n">
        <f aca="false">INDEX(Clientes!$E$4:$E$15,MATCH(B32,Clientes!$A$4:$A$15,0))</f>
        <v>1</v>
      </c>
      <c r="I32" s="16" t="n">
        <f aca="false">ROUND(F32*G32*H32,0)</f>
        <v>7170</v>
      </c>
    </row>
    <row r="33" customFormat="false" ht="15" hidden="false" customHeight="false" outlineLevel="0" collapsed="false">
      <c r="A33" s="14" t="n">
        <v>45231</v>
      </c>
      <c r="B33" s="6" t="s">
        <v>33</v>
      </c>
      <c r="C33" s="6" t="s">
        <v>67</v>
      </c>
      <c r="D33" s="0" t="str">
        <f aca="false">INDEX(Clientes!$B$4:$B$15,MATCH(B33,Clientes!$A$4:$A$15,0))</f>
        <v>Transportes Rápidos del Valle</v>
      </c>
      <c r="E33" s="0" t="str">
        <f aca="false">INDEX(Catalogo_Servicios!$C$4:$C$24,MATCH(C33,Catalogo_Servicios!$A$4:$A$24,0))</f>
        <v>Cálculo de planillas y cargas sociales (CCSS/INS)</v>
      </c>
      <c r="F33" s="15" t="n">
        <v>5.5</v>
      </c>
      <c r="G33" s="16" t="n">
        <f aca="false">Parametros!$B$4</f>
        <v>28681</v>
      </c>
      <c r="H33" s="15" t="n">
        <f aca="false">INDEX(Clientes!$E$4:$E$15,MATCH(B33,Clientes!$A$4:$A$15,0))</f>
        <v>1</v>
      </c>
      <c r="I33" s="16" t="n">
        <f aca="false">ROUND(F33*G33*H33,0)</f>
        <v>157746</v>
      </c>
    </row>
    <row r="34" customFormat="false" ht="15" hidden="false" customHeight="false" outlineLevel="0" collapsed="false">
      <c r="A34" s="14" t="n">
        <v>45231</v>
      </c>
      <c r="B34" s="6" t="s">
        <v>35</v>
      </c>
      <c r="C34" s="6" t="s">
        <v>65</v>
      </c>
      <c r="D34" s="0" t="str">
        <f aca="false">INDEX(Clientes!$B$4:$B$15,MATCH(B34,Clientes!$A$4:$A$15,0))</f>
        <v>Taller Mecánico Hermanos Mora</v>
      </c>
      <c r="E34" s="0" t="str">
        <f aca="false">INDEX(Catalogo_Servicios!$C$4:$C$24,MATCH(C34,Catalogo_Servicios!$A$4:$A$24,0))</f>
        <v>Declaración mensual de IVA (D-104)</v>
      </c>
      <c r="F34" s="15" t="n">
        <v>0.75</v>
      </c>
      <c r="G34" s="16" t="n">
        <f aca="false">Parametros!$B$4</f>
        <v>28681</v>
      </c>
      <c r="H34" s="15" t="n">
        <f aca="false">INDEX(Clientes!$E$4:$E$15,MATCH(B34,Clientes!$A$4:$A$15,0))</f>
        <v>1</v>
      </c>
      <c r="I34" s="16" t="n">
        <f aca="false">ROUND(F34*G34*H34,0)</f>
        <v>21511</v>
      </c>
    </row>
    <row r="35" customFormat="false" ht="15" hidden="false" customHeight="false" outlineLevel="0" collapsed="false">
      <c r="A35" s="14" t="n">
        <v>45231</v>
      </c>
      <c r="B35" s="6" t="s">
        <v>36</v>
      </c>
      <c r="C35" s="6" t="s">
        <v>65</v>
      </c>
      <c r="D35" s="0" t="str">
        <f aca="false">INDEX(Clientes!$B$4:$B$15,MATCH(B35,Clientes!$A$4:$A$15,0))</f>
        <v>Agroservicios Cartago</v>
      </c>
      <c r="E35" s="0" t="str">
        <f aca="false">INDEX(Catalogo_Servicios!$C$4:$C$24,MATCH(C35,Catalogo_Servicios!$A$4:$A$24,0))</f>
        <v>Declaración mensual de IVA (D-104)</v>
      </c>
      <c r="F35" s="15" t="n">
        <v>0.75</v>
      </c>
      <c r="G35" s="16" t="n">
        <f aca="false">Parametros!$B$4</f>
        <v>28681</v>
      </c>
      <c r="H35" s="15" t="n">
        <f aca="false">INDEX(Clientes!$E$4:$E$15,MATCH(B35,Clientes!$A$4:$A$15,0))</f>
        <v>1</v>
      </c>
      <c r="I35" s="16" t="n">
        <f aca="false">ROUND(F35*G35*H35,0)</f>
        <v>21511</v>
      </c>
    </row>
    <row r="36" customFormat="false" ht="15" hidden="false" customHeight="false" outlineLevel="0" collapsed="false">
      <c r="A36" s="14" t="n">
        <v>45231</v>
      </c>
      <c r="B36" s="6" t="s">
        <v>36</v>
      </c>
      <c r="C36" s="6" t="s">
        <v>66</v>
      </c>
      <c r="D36" s="0" t="str">
        <f aca="false">INDEX(Clientes!$B$4:$B$15,MATCH(B36,Clientes!$A$4:$A$15,0))</f>
        <v>Agroservicios Cartago</v>
      </c>
      <c r="E36" s="0" t="str">
        <f aca="false">INDEX(Catalogo_Servicios!$C$4:$C$24,MATCH(C36,Catalogo_Servicios!$A$4:$A$24,0))</f>
        <v>Declaración mensual de retenciones (D-103)</v>
      </c>
      <c r="F36" s="15" t="n">
        <v>0.25</v>
      </c>
      <c r="G36" s="16" t="n">
        <f aca="false">Parametros!$B$4</f>
        <v>28681</v>
      </c>
      <c r="H36" s="15" t="n">
        <f aca="false">INDEX(Clientes!$E$4:$E$15,MATCH(B36,Clientes!$A$4:$A$15,0))</f>
        <v>1</v>
      </c>
      <c r="I36" s="16" t="n">
        <f aca="false">ROUND(F36*G36*H36,0)</f>
        <v>7170</v>
      </c>
    </row>
    <row r="37" customFormat="false" ht="15" hidden="false" customHeight="false" outlineLevel="0" collapsed="false">
      <c r="A37" s="14" t="n">
        <v>45231</v>
      </c>
      <c r="B37" s="6" t="s">
        <v>38</v>
      </c>
      <c r="C37" s="6" t="s">
        <v>65</v>
      </c>
      <c r="D37" s="0" t="str">
        <f aca="false">INDEX(Clientes!$B$4:$B$15,MATCH(B37,Clientes!$A$4:$A$15,0))</f>
        <v>Panadería La Espiga</v>
      </c>
      <c r="E37" s="0" t="str">
        <f aca="false">INDEX(Catalogo_Servicios!$C$4:$C$24,MATCH(C37,Catalogo_Servicios!$A$4:$A$24,0))</f>
        <v>Declaración mensual de IVA (D-104)</v>
      </c>
      <c r="F37" s="15" t="n">
        <v>0.75</v>
      </c>
      <c r="G37" s="16" t="n">
        <f aca="false">Parametros!$B$4</f>
        <v>28681</v>
      </c>
      <c r="H37" s="15" t="n">
        <f aca="false">INDEX(Clientes!$E$4:$E$15,MATCH(B37,Clientes!$A$4:$A$15,0))</f>
        <v>1</v>
      </c>
      <c r="I37" s="16" t="n">
        <f aca="false">ROUND(F37*G37*H37,0)</f>
        <v>21511</v>
      </c>
    </row>
    <row r="38" customFormat="false" ht="15" hidden="false" customHeight="false" outlineLevel="0" collapsed="false">
      <c r="A38" s="14" t="n">
        <v>45231</v>
      </c>
      <c r="B38" s="6" t="s">
        <v>38</v>
      </c>
      <c r="C38" s="6" t="s">
        <v>67</v>
      </c>
      <c r="D38" s="0" t="str">
        <f aca="false">INDEX(Clientes!$B$4:$B$15,MATCH(B38,Clientes!$A$4:$A$15,0))</f>
        <v>Panadería La Espiga</v>
      </c>
      <c r="E38" s="0" t="str">
        <f aca="false">INDEX(Catalogo_Servicios!$C$4:$C$24,MATCH(C38,Catalogo_Servicios!$A$4:$A$24,0))</f>
        <v>Cálculo de planillas y cargas sociales (CCSS/INS)</v>
      </c>
      <c r="F38" s="15" t="n">
        <v>6.5</v>
      </c>
      <c r="G38" s="16" t="n">
        <f aca="false">Parametros!$B$4</f>
        <v>28681</v>
      </c>
      <c r="H38" s="15" t="n">
        <f aca="false">INDEX(Clientes!$E$4:$E$15,MATCH(B38,Clientes!$A$4:$A$15,0))</f>
        <v>1</v>
      </c>
      <c r="I38" s="16" t="n">
        <f aca="false">ROUND(F38*G38*H38,0)</f>
        <v>186427</v>
      </c>
    </row>
    <row r="39" customFormat="false" ht="15" hidden="false" customHeight="false" outlineLevel="0" collapsed="false">
      <c r="A39" s="14" t="n">
        <v>45261</v>
      </c>
      <c r="B39" s="6" t="s">
        <v>29</v>
      </c>
      <c r="C39" s="6" t="s">
        <v>64</v>
      </c>
      <c r="D39" s="0" t="str">
        <f aca="false">INDEX(Clientes!$B$4:$B$15,MATCH(B39,Clientes!$A$4:$A$15,0))</f>
        <v>Distribuidora Los Andes S.A.</v>
      </c>
      <c r="E39" s="0" t="str">
        <f aca="false">INDEX(Catalogo_Servicios!$C$4:$C$24,MATCH(C39,Catalogo_Servicios!$A$4:$A$24,0))</f>
        <v>Estados financieros mensuales</v>
      </c>
      <c r="F39" s="15" t="n">
        <v>3</v>
      </c>
      <c r="G39" s="16" t="n">
        <f aca="false">Parametros!$B$4</f>
        <v>28681</v>
      </c>
      <c r="H39" s="15" t="n">
        <f aca="false">INDEX(Clientes!$E$4:$E$15,MATCH(B39,Clientes!$A$4:$A$15,0))</f>
        <v>1</v>
      </c>
      <c r="I39" s="16" t="n">
        <f aca="false">ROUND(F39*G39*H39,0)</f>
        <v>86043</v>
      </c>
    </row>
    <row r="40" customFormat="false" ht="15" hidden="false" customHeight="false" outlineLevel="0" collapsed="false">
      <c r="A40" s="14" t="n">
        <v>45261</v>
      </c>
      <c r="B40" s="6" t="s">
        <v>29</v>
      </c>
      <c r="C40" s="6" t="s">
        <v>65</v>
      </c>
      <c r="D40" s="0" t="str">
        <f aca="false">INDEX(Clientes!$B$4:$B$15,MATCH(B40,Clientes!$A$4:$A$15,0))</f>
        <v>Distribuidora Los Andes S.A.</v>
      </c>
      <c r="E40" s="0" t="str">
        <f aca="false">INDEX(Catalogo_Servicios!$C$4:$C$24,MATCH(C40,Catalogo_Servicios!$A$4:$A$24,0))</f>
        <v>Declaración mensual de IVA (D-104)</v>
      </c>
      <c r="F40" s="15" t="n">
        <v>0.75</v>
      </c>
      <c r="G40" s="16" t="n">
        <f aca="false">Parametros!$B$4</f>
        <v>28681</v>
      </c>
      <c r="H40" s="15" t="n">
        <f aca="false">INDEX(Clientes!$E$4:$E$15,MATCH(B40,Clientes!$A$4:$A$15,0))</f>
        <v>1</v>
      </c>
      <c r="I40" s="16" t="n">
        <f aca="false">ROUND(F40*G40*H40,0)</f>
        <v>21511</v>
      </c>
    </row>
    <row r="41" customFormat="false" ht="15" hidden="false" customHeight="false" outlineLevel="0" collapsed="false">
      <c r="A41" s="14" t="n">
        <v>45261</v>
      </c>
      <c r="B41" s="6" t="s">
        <v>29</v>
      </c>
      <c r="C41" s="6" t="s">
        <v>66</v>
      </c>
      <c r="D41" s="0" t="str">
        <f aca="false">INDEX(Clientes!$B$4:$B$15,MATCH(B41,Clientes!$A$4:$A$15,0))</f>
        <v>Distribuidora Los Andes S.A.</v>
      </c>
      <c r="E41" s="0" t="str">
        <f aca="false">INDEX(Catalogo_Servicios!$C$4:$C$24,MATCH(C41,Catalogo_Servicios!$A$4:$A$24,0))</f>
        <v>Declaración mensual de retenciones (D-103)</v>
      </c>
      <c r="F41" s="15" t="n">
        <v>0.25</v>
      </c>
      <c r="G41" s="16" t="n">
        <f aca="false">Parametros!$B$4</f>
        <v>28681</v>
      </c>
      <c r="H41" s="15" t="n">
        <f aca="false">INDEX(Clientes!$E$4:$E$15,MATCH(B41,Clientes!$A$4:$A$15,0))</f>
        <v>1</v>
      </c>
      <c r="I41" s="16" t="n">
        <f aca="false">ROUND(F41*G41*H41,0)</f>
        <v>7170</v>
      </c>
    </row>
    <row r="42" customFormat="false" ht="15" hidden="false" customHeight="false" outlineLevel="0" collapsed="false">
      <c r="A42" s="14" t="n">
        <v>45261</v>
      </c>
      <c r="B42" s="6" t="s">
        <v>29</v>
      </c>
      <c r="C42" s="6" t="s">
        <v>67</v>
      </c>
      <c r="D42" s="0" t="str">
        <f aca="false">INDEX(Clientes!$B$4:$B$15,MATCH(B42,Clientes!$A$4:$A$15,0))</f>
        <v>Distribuidora Los Andes S.A.</v>
      </c>
      <c r="E42" s="0" t="str">
        <f aca="false">INDEX(Catalogo_Servicios!$C$4:$C$24,MATCH(C42,Catalogo_Servicios!$A$4:$A$24,0))</f>
        <v>Cálculo de planillas y cargas sociales (CCSS/INS)</v>
      </c>
      <c r="F42" s="15" t="n">
        <v>23</v>
      </c>
      <c r="G42" s="16" t="n">
        <f aca="false">Parametros!$B$4</f>
        <v>28681</v>
      </c>
      <c r="H42" s="15" t="n">
        <f aca="false">INDEX(Clientes!$E$4:$E$15,MATCH(B42,Clientes!$A$4:$A$15,0))</f>
        <v>1</v>
      </c>
      <c r="I42" s="16" t="n">
        <f aca="false">ROUND(F42*G42*H42,0)</f>
        <v>659663</v>
      </c>
    </row>
    <row r="43" customFormat="false" ht="15" hidden="false" customHeight="false" outlineLevel="0" collapsed="false">
      <c r="A43" s="14" t="n">
        <v>45261</v>
      </c>
      <c r="B43" s="6" t="s">
        <v>29</v>
      </c>
      <c r="C43" s="6" t="s">
        <v>69</v>
      </c>
      <c r="D43" s="0" t="str">
        <f aca="false">INDEX(Clientes!$B$4:$B$15,MATCH(B43,Clientes!$A$4:$A$15,0))</f>
        <v>Distribuidora Los Andes S.A.</v>
      </c>
      <c r="E43" s="0" t="str">
        <f aca="false">INDEX(Catalogo_Servicios!$C$4:$C$24,MATCH(C43,Catalogo_Servicios!$A$4:$A$24,0))</f>
        <v>Declaración anual de renta (D-101 / D-105)</v>
      </c>
      <c r="F43" s="15" t="n">
        <v>1.5</v>
      </c>
      <c r="G43" s="16" t="n">
        <f aca="false">Parametros!$B$4</f>
        <v>28681</v>
      </c>
      <c r="H43" s="15" t="n">
        <f aca="false">INDEX(Clientes!$E$4:$E$15,MATCH(B43,Clientes!$A$4:$A$15,0))</f>
        <v>1</v>
      </c>
      <c r="I43" s="16" t="n">
        <f aca="false">ROUND(F43*G43*H43,0)</f>
        <v>43022</v>
      </c>
    </row>
    <row r="44" customFormat="false" ht="15" hidden="false" customHeight="false" outlineLevel="0" collapsed="false">
      <c r="A44" s="14" t="n">
        <v>45261</v>
      </c>
      <c r="B44" s="6" t="s">
        <v>29</v>
      </c>
      <c r="C44" s="6" t="s">
        <v>70</v>
      </c>
      <c r="D44" s="0" t="str">
        <f aca="false">INDEX(Clientes!$B$4:$B$15,MATCH(B44,Clientes!$A$4:$A$15,0))</f>
        <v>Distribuidora Los Andes S.A.</v>
      </c>
      <c r="E44" s="0" t="str">
        <f aca="false">INDEX(Catalogo_Servicios!$C$4:$C$24,MATCH(C44,Catalogo_Servicios!$A$4:$A$24,0))</f>
        <v>Estados financieros anuales / cierre fiscal</v>
      </c>
      <c r="F44" s="15" t="n">
        <v>6</v>
      </c>
      <c r="G44" s="16" t="n">
        <f aca="false">Parametros!$B$4</f>
        <v>28681</v>
      </c>
      <c r="H44" s="15" t="n">
        <f aca="false">INDEX(Clientes!$E$4:$E$15,MATCH(B44,Clientes!$A$4:$A$15,0))</f>
        <v>1</v>
      </c>
      <c r="I44" s="16" t="n">
        <f aca="false">ROUND(F44*G44*H44,0)</f>
        <v>172086</v>
      </c>
    </row>
    <row r="45" customFormat="false" ht="15" hidden="false" customHeight="false" outlineLevel="0" collapsed="false">
      <c r="A45" s="14" t="n">
        <v>45261</v>
      </c>
      <c r="B45" s="6" t="s">
        <v>30</v>
      </c>
      <c r="C45" s="6" t="s">
        <v>64</v>
      </c>
      <c r="D45" s="0" t="str">
        <f aca="false">INDEX(Clientes!$B$4:$B$15,MATCH(B45,Clientes!$A$4:$A$15,0))</f>
        <v>Ferretería El Tornillo</v>
      </c>
      <c r="E45" s="0" t="str">
        <f aca="false">INDEX(Catalogo_Servicios!$C$4:$C$24,MATCH(C45,Catalogo_Servicios!$A$4:$A$24,0))</f>
        <v>Estados financieros mensuales</v>
      </c>
      <c r="F45" s="15" t="n">
        <v>3.25</v>
      </c>
      <c r="G45" s="16" t="n">
        <f aca="false">Parametros!$B$4</f>
        <v>28681</v>
      </c>
      <c r="H45" s="15" t="n">
        <f aca="false">INDEX(Clientes!$E$4:$E$15,MATCH(B45,Clientes!$A$4:$A$15,0))</f>
        <v>1</v>
      </c>
      <c r="I45" s="16" t="n">
        <f aca="false">ROUND(F45*G45*H45,0)</f>
        <v>93213</v>
      </c>
    </row>
    <row r="46" customFormat="false" ht="15" hidden="false" customHeight="false" outlineLevel="0" collapsed="false">
      <c r="A46" s="14" t="n">
        <v>45261</v>
      </c>
      <c r="B46" s="6" t="s">
        <v>30</v>
      </c>
      <c r="C46" s="6" t="s">
        <v>65</v>
      </c>
      <c r="D46" s="0" t="str">
        <f aca="false">INDEX(Clientes!$B$4:$B$15,MATCH(B46,Clientes!$A$4:$A$15,0))</f>
        <v>Ferretería El Tornillo</v>
      </c>
      <c r="E46" s="0" t="str">
        <f aca="false">INDEX(Catalogo_Servicios!$C$4:$C$24,MATCH(C46,Catalogo_Servicios!$A$4:$A$24,0))</f>
        <v>Declaración mensual de IVA (D-104)</v>
      </c>
      <c r="F46" s="15" t="n">
        <v>0.75</v>
      </c>
      <c r="G46" s="16" t="n">
        <f aca="false">Parametros!$B$4</f>
        <v>28681</v>
      </c>
      <c r="H46" s="15" t="n">
        <f aca="false">INDEX(Clientes!$E$4:$E$15,MATCH(B46,Clientes!$A$4:$A$15,0))</f>
        <v>1</v>
      </c>
      <c r="I46" s="16" t="n">
        <f aca="false">ROUND(F46*G46*H46,0)</f>
        <v>21511</v>
      </c>
    </row>
    <row r="47" customFormat="false" ht="15" hidden="false" customHeight="false" outlineLevel="0" collapsed="false">
      <c r="A47" s="14" t="n">
        <v>45261</v>
      </c>
      <c r="B47" s="6" t="s">
        <v>30</v>
      </c>
      <c r="C47" s="6" t="s">
        <v>66</v>
      </c>
      <c r="D47" s="0" t="str">
        <f aca="false">INDEX(Clientes!$B$4:$B$15,MATCH(B47,Clientes!$A$4:$A$15,0))</f>
        <v>Ferretería El Tornillo</v>
      </c>
      <c r="E47" s="0" t="str">
        <f aca="false">INDEX(Catalogo_Servicios!$C$4:$C$24,MATCH(C47,Catalogo_Servicios!$A$4:$A$24,0))</f>
        <v>Declaración mensual de retenciones (D-103)</v>
      </c>
      <c r="F47" s="15" t="n">
        <v>0.25</v>
      </c>
      <c r="G47" s="16" t="n">
        <f aca="false">Parametros!$B$4</f>
        <v>28681</v>
      </c>
      <c r="H47" s="15" t="n">
        <f aca="false">INDEX(Clientes!$E$4:$E$15,MATCH(B47,Clientes!$A$4:$A$15,0))</f>
        <v>1</v>
      </c>
      <c r="I47" s="16" t="n">
        <f aca="false">ROUND(F47*G47*H47,0)</f>
        <v>7170</v>
      </c>
    </row>
    <row r="48" customFormat="false" ht="15" hidden="false" customHeight="false" outlineLevel="0" collapsed="false">
      <c r="A48" s="14" t="n">
        <v>45261</v>
      </c>
      <c r="B48" s="6" t="s">
        <v>31</v>
      </c>
      <c r="C48" s="6" t="s">
        <v>68</v>
      </c>
      <c r="D48" s="0" t="str">
        <f aca="false">INDEX(Clientes!$B$4:$B$15,MATCH(B48,Clientes!$A$4:$A$15,0))</f>
        <v>Clínica Dental Sonrisa</v>
      </c>
      <c r="E48" s="0" t="str">
        <f aca="false">INDEX(Catalogo_Servicios!$C$4:$C$24,MATCH(C48,Catalogo_Servicios!$A$4:$A$24,0))</f>
        <v>Asesoría contable, financiera y tributaria</v>
      </c>
      <c r="F48" s="15" t="n">
        <v>1.5</v>
      </c>
      <c r="G48" s="16" t="n">
        <f aca="false">Parametros!$B$4</f>
        <v>28681</v>
      </c>
      <c r="H48" s="15" t="n">
        <f aca="false">INDEX(Clientes!$E$4:$E$15,MATCH(B48,Clientes!$A$4:$A$15,0))</f>
        <v>1.1</v>
      </c>
      <c r="I48" s="16" t="n">
        <f aca="false">ROUND(F48*G48*H48,0)</f>
        <v>47324</v>
      </c>
    </row>
    <row r="49" customFormat="false" ht="15" hidden="false" customHeight="false" outlineLevel="0" collapsed="false">
      <c r="A49" s="14" t="n">
        <v>45261</v>
      </c>
      <c r="B49" s="6" t="s">
        <v>31</v>
      </c>
      <c r="C49" s="6" t="s">
        <v>65</v>
      </c>
      <c r="D49" s="0" t="str">
        <f aca="false">INDEX(Clientes!$B$4:$B$15,MATCH(B49,Clientes!$A$4:$A$15,0))</f>
        <v>Clínica Dental Sonrisa</v>
      </c>
      <c r="E49" s="0" t="str">
        <f aca="false">INDEX(Catalogo_Servicios!$C$4:$C$24,MATCH(C49,Catalogo_Servicios!$A$4:$A$24,0))</f>
        <v>Declaración mensual de IVA (D-104)</v>
      </c>
      <c r="F49" s="15" t="n">
        <v>0.75</v>
      </c>
      <c r="G49" s="16" t="n">
        <f aca="false">Parametros!$B$4</f>
        <v>28681</v>
      </c>
      <c r="H49" s="15" t="n">
        <f aca="false">INDEX(Clientes!$E$4:$E$15,MATCH(B49,Clientes!$A$4:$A$15,0))</f>
        <v>1.1</v>
      </c>
      <c r="I49" s="16" t="n">
        <f aca="false">ROUND(F49*G49*H49,0)</f>
        <v>23662</v>
      </c>
    </row>
    <row r="50" customFormat="false" ht="15" hidden="false" customHeight="false" outlineLevel="0" collapsed="false">
      <c r="A50" s="14" t="n">
        <v>45261</v>
      </c>
      <c r="B50" s="6" t="s">
        <v>31</v>
      </c>
      <c r="C50" s="6" t="s">
        <v>69</v>
      </c>
      <c r="D50" s="0" t="str">
        <f aca="false">INDEX(Clientes!$B$4:$B$15,MATCH(B50,Clientes!$A$4:$A$15,0))</f>
        <v>Clínica Dental Sonrisa</v>
      </c>
      <c r="E50" s="0" t="str">
        <f aca="false">INDEX(Catalogo_Servicios!$C$4:$C$24,MATCH(C50,Catalogo_Servicios!$A$4:$A$24,0))</f>
        <v>Declaración anual de renta (D-101 / D-105)</v>
      </c>
      <c r="F50" s="15" t="n">
        <v>1.5</v>
      </c>
      <c r="G50" s="16" t="n">
        <f aca="false">Parametros!$B$4</f>
        <v>28681</v>
      </c>
      <c r="H50" s="15" t="n">
        <f aca="false">INDEX(Clientes!$E$4:$E$15,MATCH(B50,Clientes!$A$4:$A$15,0))</f>
        <v>1.1</v>
      </c>
      <c r="I50" s="16" t="n">
        <f aca="false">ROUND(F50*G50*H50,0)</f>
        <v>47324</v>
      </c>
    </row>
    <row r="51" customFormat="false" ht="15" hidden="false" customHeight="false" outlineLevel="0" collapsed="false">
      <c r="A51" s="14" t="n">
        <v>45261</v>
      </c>
      <c r="B51" s="6" t="s">
        <v>32</v>
      </c>
      <c r="C51" s="6" t="s">
        <v>65</v>
      </c>
      <c r="D51" s="0" t="str">
        <f aca="false">INDEX(Clientes!$B$4:$B$15,MATCH(B51,Clientes!$A$4:$A$15,0))</f>
        <v>Soda y Restaurante Doña Lela</v>
      </c>
      <c r="E51" s="0" t="str">
        <f aca="false">INDEX(Catalogo_Servicios!$C$4:$C$24,MATCH(C51,Catalogo_Servicios!$A$4:$A$24,0))</f>
        <v>Declaración mensual de IVA (D-104)</v>
      </c>
      <c r="F51" s="15" t="n">
        <v>0.75</v>
      </c>
      <c r="G51" s="16" t="n">
        <f aca="false">Parametros!$B$4</f>
        <v>28681</v>
      </c>
      <c r="H51" s="15" t="n">
        <f aca="false">INDEX(Clientes!$E$4:$E$15,MATCH(B51,Clientes!$A$4:$A$15,0))</f>
        <v>1</v>
      </c>
      <c r="I51" s="16" t="n">
        <f aca="false">ROUND(F51*G51*H51,0)</f>
        <v>21511</v>
      </c>
    </row>
    <row r="52" customFormat="false" ht="15" hidden="false" customHeight="false" outlineLevel="0" collapsed="false">
      <c r="A52" s="14" t="n">
        <v>45261</v>
      </c>
      <c r="B52" s="6" t="s">
        <v>32</v>
      </c>
      <c r="C52" s="6" t="s">
        <v>69</v>
      </c>
      <c r="D52" s="0" t="str">
        <f aca="false">INDEX(Clientes!$B$4:$B$15,MATCH(B52,Clientes!$A$4:$A$15,0))</f>
        <v>Soda y Restaurante Doña Lela</v>
      </c>
      <c r="E52" s="0" t="str">
        <f aca="false">INDEX(Catalogo_Servicios!$C$4:$C$24,MATCH(C52,Catalogo_Servicios!$A$4:$A$24,0))</f>
        <v>Declaración anual de renta (D-101 / D-105)</v>
      </c>
      <c r="F52" s="15" t="n">
        <v>1.5</v>
      </c>
      <c r="G52" s="16" t="n">
        <f aca="false">Parametros!$B$4</f>
        <v>28681</v>
      </c>
      <c r="H52" s="15" t="n">
        <f aca="false">INDEX(Clientes!$E$4:$E$15,MATCH(B52,Clientes!$A$4:$A$15,0))</f>
        <v>1</v>
      </c>
      <c r="I52" s="16" t="n">
        <f aca="false">ROUND(F52*G52*H52,0)</f>
        <v>43022</v>
      </c>
    </row>
    <row r="53" customFormat="false" ht="15" hidden="false" customHeight="false" outlineLevel="0" collapsed="false">
      <c r="A53" s="14" t="n">
        <v>45261</v>
      </c>
      <c r="B53" s="6" t="s">
        <v>33</v>
      </c>
      <c r="C53" s="6" t="s">
        <v>65</v>
      </c>
      <c r="D53" s="0" t="str">
        <f aca="false">INDEX(Clientes!$B$4:$B$15,MATCH(B53,Clientes!$A$4:$A$15,0))</f>
        <v>Transportes Rápidos del Valle</v>
      </c>
      <c r="E53" s="0" t="str">
        <f aca="false">INDEX(Catalogo_Servicios!$C$4:$C$24,MATCH(C53,Catalogo_Servicios!$A$4:$A$24,0))</f>
        <v>Declaración mensual de IVA (D-104)</v>
      </c>
      <c r="F53" s="15" t="n">
        <v>0.75</v>
      </c>
      <c r="G53" s="16" t="n">
        <f aca="false">Parametros!$B$4</f>
        <v>28681</v>
      </c>
      <c r="H53" s="15" t="n">
        <f aca="false">INDEX(Clientes!$E$4:$E$15,MATCH(B53,Clientes!$A$4:$A$15,0))</f>
        <v>1</v>
      </c>
      <c r="I53" s="16" t="n">
        <f aca="false">ROUND(F53*G53*H53,0)</f>
        <v>21511</v>
      </c>
    </row>
    <row r="54" customFormat="false" ht="15" hidden="false" customHeight="false" outlineLevel="0" collapsed="false">
      <c r="A54" s="14" t="n">
        <v>45261</v>
      </c>
      <c r="B54" s="6" t="s">
        <v>33</v>
      </c>
      <c r="C54" s="6" t="s">
        <v>66</v>
      </c>
      <c r="D54" s="0" t="str">
        <f aca="false">INDEX(Clientes!$B$4:$B$15,MATCH(B54,Clientes!$A$4:$A$15,0))</f>
        <v>Transportes Rápidos del Valle</v>
      </c>
      <c r="E54" s="0" t="str">
        <f aca="false">INDEX(Catalogo_Servicios!$C$4:$C$24,MATCH(C54,Catalogo_Servicios!$A$4:$A$24,0))</f>
        <v>Declaración mensual de retenciones (D-103)</v>
      </c>
      <c r="F54" s="15" t="n">
        <v>0.25</v>
      </c>
      <c r="G54" s="16" t="n">
        <f aca="false">Parametros!$B$4</f>
        <v>28681</v>
      </c>
      <c r="H54" s="15" t="n">
        <f aca="false">INDEX(Clientes!$E$4:$E$15,MATCH(B54,Clientes!$A$4:$A$15,0))</f>
        <v>1</v>
      </c>
      <c r="I54" s="16" t="n">
        <f aca="false">ROUND(F54*G54*H54,0)</f>
        <v>7170</v>
      </c>
    </row>
    <row r="55" customFormat="false" ht="15" hidden="false" customHeight="false" outlineLevel="0" collapsed="false">
      <c r="A55" s="14" t="n">
        <v>45261</v>
      </c>
      <c r="B55" s="6" t="s">
        <v>33</v>
      </c>
      <c r="C55" s="6" t="s">
        <v>67</v>
      </c>
      <c r="D55" s="0" t="str">
        <f aca="false">INDEX(Clientes!$B$4:$B$15,MATCH(B55,Clientes!$A$4:$A$15,0))</f>
        <v>Transportes Rápidos del Valle</v>
      </c>
      <c r="E55" s="0" t="str">
        <f aca="false">INDEX(Catalogo_Servicios!$C$4:$C$24,MATCH(C55,Catalogo_Servicios!$A$4:$A$24,0))</f>
        <v>Cálculo de planillas y cargas sociales (CCSS/INS)</v>
      </c>
      <c r="F55" s="15" t="n">
        <v>5.5</v>
      </c>
      <c r="G55" s="16" t="n">
        <f aca="false">Parametros!$B$4</f>
        <v>28681</v>
      </c>
      <c r="H55" s="15" t="n">
        <f aca="false">INDEX(Clientes!$E$4:$E$15,MATCH(B55,Clientes!$A$4:$A$15,0))</f>
        <v>1</v>
      </c>
      <c r="I55" s="16" t="n">
        <f aca="false">ROUND(F55*G55*H55,0)</f>
        <v>157746</v>
      </c>
    </row>
    <row r="56" customFormat="false" ht="15" hidden="false" customHeight="false" outlineLevel="0" collapsed="false">
      <c r="A56" s="14" t="n">
        <v>45261</v>
      </c>
      <c r="B56" s="6" t="s">
        <v>33</v>
      </c>
      <c r="C56" s="6" t="s">
        <v>69</v>
      </c>
      <c r="D56" s="0" t="str">
        <f aca="false">INDEX(Clientes!$B$4:$B$15,MATCH(B56,Clientes!$A$4:$A$15,0))</f>
        <v>Transportes Rápidos del Valle</v>
      </c>
      <c r="E56" s="0" t="str">
        <f aca="false">INDEX(Catalogo_Servicios!$C$4:$C$24,MATCH(C56,Catalogo_Servicios!$A$4:$A$24,0))</f>
        <v>Declaración anual de renta (D-101 / D-105)</v>
      </c>
      <c r="F56" s="15" t="n">
        <v>1.5</v>
      </c>
      <c r="G56" s="16" t="n">
        <f aca="false">Parametros!$B$4</f>
        <v>28681</v>
      </c>
      <c r="H56" s="15" t="n">
        <f aca="false">INDEX(Clientes!$E$4:$E$15,MATCH(B56,Clientes!$A$4:$A$15,0))</f>
        <v>1</v>
      </c>
      <c r="I56" s="16" t="n">
        <f aca="false">ROUND(F56*G56*H56,0)</f>
        <v>43022</v>
      </c>
    </row>
    <row r="57" customFormat="false" ht="15" hidden="false" customHeight="false" outlineLevel="0" collapsed="false">
      <c r="A57" s="14" t="n">
        <v>45261</v>
      </c>
      <c r="B57" s="6" t="s">
        <v>35</v>
      </c>
      <c r="C57" s="6" t="s">
        <v>65</v>
      </c>
      <c r="D57" s="0" t="str">
        <f aca="false">INDEX(Clientes!$B$4:$B$15,MATCH(B57,Clientes!$A$4:$A$15,0))</f>
        <v>Taller Mecánico Hermanos Mora</v>
      </c>
      <c r="E57" s="0" t="str">
        <f aca="false">INDEX(Catalogo_Servicios!$C$4:$C$24,MATCH(C57,Catalogo_Servicios!$A$4:$A$24,0))</f>
        <v>Declaración mensual de IVA (D-104)</v>
      </c>
      <c r="F57" s="15" t="n">
        <v>0.75</v>
      </c>
      <c r="G57" s="16" t="n">
        <f aca="false">Parametros!$B$4</f>
        <v>28681</v>
      </c>
      <c r="H57" s="15" t="n">
        <f aca="false">INDEX(Clientes!$E$4:$E$15,MATCH(B57,Clientes!$A$4:$A$15,0))</f>
        <v>1</v>
      </c>
      <c r="I57" s="16" t="n">
        <f aca="false">ROUND(F57*G57*H57,0)</f>
        <v>21511</v>
      </c>
    </row>
    <row r="58" customFormat="false" ht="15" hidden="false" customHeight="false" outlineLevel="0" collapsed="false">
      <c r="A58" s="14" t="n">
        <v>45261</v>
      </c>
      <c r="B58" s="6" t="s">
        <v>36</v>
      </c>
      <c r="C58" s="6" t="s">
        <v>65</v>
      </c>
      <c r="D58" s="0" t="str">
        <f aca="false">INDEX(Clientes!$B$4:$B$15,MATCH(B58,Clientes!$A$4:$A$15,0))</f>
        <v>Agroservicios Cartago</v>
      </c>
      <c r="E58" s="0" t="str">
        <f aca="false">INDEX(Catalogo_Servicios!$C$4:$C$24,MATCH(C58,Catalogo_Servicios!$A$4:$A$24,0))</f>
        <v>Declaración mensual de IVA (D-104)</v>
      </c>
      <c r="F58" s="15" t="n">
        <v>0.75</v>
      </c>
      <c r="G58" s="16" t="n">
        <f aca="false">Parametros!$B$4</f>
        <v>28681</v>
      </c>
      <c r="H58" s="15" t="n">
        <f aca="false">INDEX(Clientes!$E$4:$E$15,MATCH(B58,Clientes!$A$4:$A$15,0))</f>
        <v>1</v>
      </c>
      <c r="I58" s="16" t="n">
        <f aca="false">ROUND(F58*G58*H58,0)</f>
        <v>21511</v>
      </c>
    </row>
    <row r="59" customFormat="false" ht="15" hidden="false" customHeight="false" outlineLevel="0" collapsed="false">
      <c r="A59" s="14" t="n">
        <v>45261</v>
      </c>
      <c r="B59" s="6" t="s">
        <v>36</v>
      </c>
      <c r="C59" s="6" t="s">
        <v>66</v>
      </c>
      <c r="D59" s="0" t="str">
        <f aca="false">INDEX(Clientes!$B$4:$B$15,MATCH(B59,Clientes!$A$4:$A$15,0))</f>
        <v>Agroservicios Cartago</v>
      </c>
      <c r="E59" s="0" t="str">
        <f aca="false">INDEX(Catalogo_Servicios!$C$4:$C$24,MATCH(C59,Catalogo_Servicios!$A$4:$A$24,0))</f>
        <v>Declaración mensual de retenciones (D-103)</v>
      </c>
      <c r="F59" s="15" t="n">
        <v>0.25</v>
      </c>
      <c r="G59" s="16" t="n">
        <f aca="false">Parametros!$B$4</f>
        <v>28681</v>
      </c>
      <c r="H59" s="15" t="n">
        <f aca="false">INDEX(Clientes!$E$4:$E$15,MATCH(B59,Clientes!$A$4:$A$15,0))</f>
        <v>1</v>
      </c>
      <c r="I59" s="16" t="n">
        <f aca="false">ROUND(F59*G59*H59,0)</f>
        <v>7170</v>
      </c>
    </row>
    <row r="60" customFormat="false" ht="15" hidden="false" customHeight="false" outlineLevel="0" collapsed="false">
      <c r="A60" s="14" t="n">
        <v>45261</v>
      </c>
      <c r="B60" s="6" t="s">
        <v>38</v>
      </c>
      <c r="C60" s="6" t="s">
        <v>65</v>
      </c>
      <c r="D60" s="0" t="str">
        <f aca="false">INDEX(Clientes!$B$4:$B$15,MATCH(B60,Clientes!$A$4:$A$15,0))</f>
        <v>Panadería La Espiga</v>
      </c>
      <c r="E60" s="0" t="str">
        <f aca="false">INDEX(Catalogo_Servicios!$C$4:$C$24,MATCH(C60,Catalogo_Servicios!$A$4:$A$24,0))</f>
        <v>Declaración mensual de IVA (D-104)</v>
      </c>
      <c r="F60" s="15" t="n">
        <v>0.75</v>
      </c>
      <c r="G60" s="16" t="n">
        <f aca="false">Parametros!$B$4</f>
        <v>28681</v>
      </c>
      <c r="H60" s="15" t="n">
        <f aca="false">INDEX(Clientes!$E$4:$E$15,MATCH(B60,Clientes!$A$4:$A$15,0))</f>
        <v>1</v>
      </c>
      <c r="I60" s="16" t="n">
        <f aca="false">ROUND(F60*G60*H60,0)</f>
        <v>21511</v>
      </c>
    </row>
    <row r="61" customFormat="false" ht="15" hidden="false" customHeight="false" outlineLevel="0" collapsed="false">
      <c r="A61" s="14" t="n">
        <v>45261</v>
      </c>
      <c r="B61" s="6" t="s">
        <v>38</v>
      </c>
      <c r="C61" s="6" t="s">
        <v>67</v>
      </c>
      <c r="D61" s="0" t="str">
        <f aca="false">INDEX(Clientes!$B$4:$B$15,MATCH(B61,Clientes!$A$4:$A$15,0))</f>
        <v>Panadería La Espiga</v>
      </c>
      <c r="E61" s="0" t="str">
        <f aca="false">INDEX(Catalogo_Servicios!$C$4:$C$24,MATCH(C61,Catalogo_Servicios!$A$4:$A$24,0))</f>
        <v>Cálculo de planillas y cargas sociales (CCSS/INS)</v>
      </c>
      <c r="F61" s="15" t="n">
        <v>7</v>
      </c>
      <c r="G61" s="16" t="n">
        <f aca="false">Parametros!$B$4</f>
        <v>28681</v>
      </c>
      <c r="H61" s="15" t="n">
        <f aca="false">INDEX(Clientes!$E$4:$E$15,MATCH(B61,Clientes!$A$4:$A$15,0))</f>
        <v>1</v>
      </c>
      <c r="I61" s="16" t="n">
        <f aca="false">ROUND(F61*G61*H61,0)</f>
        <v>200767</v>
      </c>
    </row>
    <row r="62" customFormat="false" ht="15" hidden="false" customHeight="false" outlineLevel="0" collapsed="false">
      <c r="A62" s="14" t="n">
        <v>45261</v>
      </c>
      <c r="B62" s="6" t="s">
        <v>38</v>
      </c>
      <c r="C62" s="6" t="s">
        <v>69</v>
      </c>
      <c r="D62" s="0" t="str">
        <f aca="false">INDEX(Clientes!$B$4:$B$15,MATCH(B62,Clientes!$A$4:$A$15,0))</f>
        <v>Panadería La Espiga</v>
      </c>
      <c r="E62" s="0" t="str">
        <f aca="false">INDEX(Catalogo_Servicios!$C$4:$C$24,MATCH(C62,Catalogo_Servicios!$A$4:$A$24,0))</f>
        <v>Declaración anual de renta (D-101 / D-105)</v>
      </c>
      <c r="F62" s="15" t="n">
        <v>1.5</v>
      </c>
      <c r="G62" s="16" t="n">
        <f aca="false">Parametros!$B$4</f>
        <v>28681</v>
      </c>
      <c r="H62" s="15" t="n">
        <f aca="false">INDEX(Clientes!$E$4:$E$15,MATCH(B62,Clientes!$A$4:$A$15,0))</f>
        <v>1</v>
      </c>
      <c r="I62" s="16" t="n">
        <f aca="false">ROUND(F62*G62*H62,0)</f>
        <v>43022</v>
      </c>
    </row>
    <row r="63" customFormat="false" ht="15" hidden="false" customHeight="false" outlineLevel="0" collapsed="false">
      <c r="A63" s="14" t="n">
        <v>45292</v>
      </c>
      <c r="B63" s="6" t="s">
        <v>29</v>
      </c>
      <c r="C63" s="6" t="s">
        <v>64</v>
      </c>
      <c r="D63" s="0" t="str">
        <f aca="false">INDEX(Clientes!$B$4:$B$15,MATCH(B63,Clientes!$A$4:$A$15,0))</f>
        <v>Distribuidora Los Andes S.A.</v>
      </c>
      <c r="E63" s="0" t="str">
        <f aca="false">INDEX(Catalogo_Servicios!$C$4:$C$24,MATCH(C63,Catalogo_Servicios!$A$4:$A$24,0))</f>
        <v>Estados financieros mensuales</v>
      </c>
      <c r="F63" s="15" t="n">
        <v>3</v>
      </c>
      <c r="G63" s="16" t="n">
        <f aca="false">Parametros!$B$4</f>
        <v>28681</v>
      </c>
      <c r="H63" s="15" t="n">
        <f aca="false">INDEX(Clientes!$E$4:$E$15,MATCH(B63,Clientes!$A$4:$A$15,0))</f>
        <v>1</v>
      </c>
      <c r="I63" s="16" t="n">
        <f aca="false">ROUND(F63*G63*H63,0)</f>
        <v>86043</v>
      </c>
    </row>
    <row r="64" customFormat="false" ht="15" hidden="false" customHeight="false" outlineLevel="0" collapsed="false">
      <c r="A64" s="14" t="n">
        <v>45292</v>
      </c>
      <c r="B64" s="6" t="s">
        <v>29</v>
      </c>
      <c r="C64" s="6" t="s">
        <v>65</v>
      </c>
      <c r="D64" s="0" t="str">
        <f aca="false">INDEX(Clientes!$B$4:$B$15,MATCH(B64,Clientes!$A$4:$A$15,0))</f>
        <v>Distribuidora Los Andes S.A.</v>
      </c>
      <c r="E64" s="0" t="str">
        <f aca="false">INDEX(Catalogo_Servicios!$C$4:$C$24,MATCH(C64,Catalogo_Servicios!$A$4:$A$24,0))</f>
        <v>Declaración mensual de IVA (D-104)</v>
      </c>
      <c r="F64" s="15" t="n">
        <v>0.75</v>
      </c>
      <c r="G64" s="16" t="n">
        <f aca="false">Parametros!$B$4</f>
        <v>28681</v>
      </c>
      <c r="H64" s="15" t="n">
        <f aca="false">INDEX(Clientes!$E$4:$E$15,MATCH(B64,Clientes!$A$4:$A$15,0))</f>
        <v>1</v>
      </c>
      <c r="I64" s="16" t="n">
        <f aca="false">ROUND(F64*G64*H64,0)</f>
        <v>21511</v>
      </c>
    </row>
    <row r="65" customFormat="false" ht="15" hidden="false" customHeight="false" outlineLevel="0" collapsed="false">
      <c r="A65" s="14" t="n">
        <v>45292</v>
      </c>
      <c r="B65" s="6" t="s">
        <v>29</v>
      </c>
      <c r="C65" s="6" t="s">
        <v>66</v>
      </c>
      <c r="D65" s="0" t="str">
        <f aca="false">INDEX(Clientes!$B$4:$B$15,MATCH(B65,Clientes!$A$4:$A$15,0))</f>
        <v>Distribuidora Los Andes S.A.</v>
      </c>
      <c r="E65" s="0" t="str">
        <f aca="false">INDEX(Catalogo_Servicios!$C$4:$C$24,MATCH(C65,Catalogo_Servicios!$A$4:$A$24,0))</f>
        <v>Declaración mensual de retenciones (D-103)</v>
      </c>
      <c r="F65" s="15" t="n">
        <v>0.25</v>
      </c>
      <c r="G65" s="16" t="n">
        <f aca="false">Parametros!$B$4</f>
        <v>28681</v>
      </c>
      <c r="H65" s="15" t="n">
        <f aca="false">INDEX(Clientes!$E$4:$E$15,MATCH(B65,Clientes!$A$4:$A$15,0))</f>
        <v>1</v>
      </c>
      <c r="I65" s="16" t="n">
        <f aca="false">ROUND(F65*G65*H65,0)</f>
        <v>7170</v>
      </c>
    </row>
    <row r="66" customFormat="false" ht="15" hidden="false" customHeight="false" outlineLevel="0" collapsed="false">
      <c r="A66" s="14" t="n">
        <v>45292</v>
      </c>
      <c r="B66" s="6" t="s">
        <v>29</v>
      </c>
      <c r="C66" s="6" t="s">
        <v>67</v>
      </c>
      <c r="D66" s="0" t="str">
        <f aca="false">INDEX(Clientes!$B$4:$B$15,MATCH(B66,Clientes!$A$4:$A$15,0))</f>
        <v>Distribuidora Los Andes S.A.</v>
      </c>
      <c r="E66" s="0" t="str">
        <f aca="false">INDEX(Catalogo_Servicios!$C$4:$C$24,MATCH(C66,Catalogo_Servicios!$A$4:$A$24,0))</f>
        <v>Cálculo de planillas y cargas sociales (CCSS/INS)</v>
      </c>
      <c r="F66" s="15" t="n">
        <v>21</v>
      </c>
      <c r="G66" s="16" t="n">
        <f aca="false">Parametros!$B$4</f>
        <v>28681</v>
      </c>
      <c r="H66" s="15" t="n">
        <f aca="false">INDEX(Clientes!$E$4:$E$15,MATCH(B66,Clientes!$A$4:$A$15,0))</f>
        <v>1</v>
      </c>
      <c r="I66" s="16" t="n">
        <f aca="false">ROUND(F66*G66*H66,0)</f>
        <v>602301</v>
      </c>
    </row>
    <row r="67" customFormat="false" ht="15" hidden="false" customHeight="false" outlineLevel="0" collapsed="false">
      <c r="A67" s="14" t="n">
        <v>45292</v>
      </c>
      <c r="B67" s="6" t="s">
        <v>29</v>
      </c>
      <c r="C67" s="6" t="s">
        <v>71</v>
      </c>
      <c r="D67" s="0" t="str">
        <f aca="false">INDEX(Clientes!$B$4:$B$15,MATCH(B67,Clientes!$A$4:$A$15,0))</f>
        <v>Distribuidora Los Andes S.A.</v>
      </c>
      <c r="E67" s="0" t="str">
        <f aca="false">INDEX(Catalogo_Servicios!$C$4:$C$24,MATCH(C67,Catalogo_Servicios!$A$4:$A$24,0))</f>
        <v>Conciliación anual de planillas (INS/CCSS)</v>
      </c>
      <c r="F67" s="15" t="n">
        <v>2</v>
      </c>
      <c r="G67" s="16" t="n">
        <f aca="false">Parametros!$B$4</f>
        <v>28681</v>
      </c>
      <c r="H67" s="15" t="n">
        <f aca="false">INDEX(Clientes!$E$4:$E$15,MATCH(B67,Clientes!$A$4:$A$15,0))</f>
        <v>1</v>
      </c>
      <c r="I67" s="16" t="n">
        <f aca="false">ROUND(F67*G67*H67,0)</f>
        <v>57362</v>
      </c>
    </row>
    <row r="68" customFormat="false" ht="15" hidden="false" customHeight="false" outlineLevel="0" collapsed="false">
      <c r="A68" s="14" t="n">
        <v>45292</v>
      </c>
      <c r="B68" s="6" t="s">
        <v>30</v>
      </c>
      <c r="C68" s="6" t="s">
        <v>64</v>
      </c>
      <c r="D68" s="0" t="str">
        <f aca="false">INDEX(Clientes!$B$4:$B$15,MATCH(B68,Clientes!$A$4:$A$15,0))</f>
        <v>Ferretería El Tornillo</v>
      </c>
      <c r="E68" s="0" t="str">
        <f aca="false">INDEX(Catalogo_Servicios!$C$4:$C$24,MATCH(C68,Catalogo_Servicios!$A$4:$A$24,0))</f>
        <v>Estados financieros mensuales</v>
      </c>
      <c r="F68" s="15" t="n">
        <v>3</v>
      </c>
      <c r="G68" s="16" t="n">
        <f aca="false">Parametros!$B$4</f>
        <v>28681</v>
      </c>
      <c r="H68" s="15" t="n">
        <f aca="false">INDEX(Clientes!$E$4:$E$15,MATCH(B68,Clientes!$A$4:$A$15,0))</f>
        <v>1</v>
      </c>
      <c r="I68" s="16" t="n">
        <f aca="false">ROUND(F68*G68*H68,0)</f>
        <v>86043</v>
      </c>
    </row>
    <row r="69" customFormat="false" ht="15" hidden="false" customHeight="false" outlineLevel="0" collapsed="false">
      <c r="A69" s="14" t="n">
        <v>45292</v>
      </c>
      <c r="B69" s="6" t="s">
        <v>30</v>
      </c>
      <c r="C69" s="6" t="s">
        <v>65</v>
      </c>
      <c r="D69" s="0" t="str">
        <f aca="false">INDEX(Clientes!$B$4:$B$15,MATCH(B69,Clientes!$A$4:$A$15,0))</f>
        <v>Ferretería El Tornillo</v>
      </c>
      <c r="E69" s="0" t="str">
        <f aca="false">INDEX(Catalogo_Servicios!$C$4:$C$24,MATCH(C69,Catalogo_Servicios!$A$4:$A$24,0))</f>
        <v>Declaración mensual de IVA (D-104)</v>
      </c>
      <c r="F69" s="15" t="n">
        <v>0.75</v>
      </c>
      <c r="G69" s="16" t="n">
        <f aca="false">Parametros!$B$4</f>
        <v>28681</v>
      </c>
      <c r="H69" s="15" t="n">
        <f aca="false">INDEX(Clientes!$E$4:$E$15,MATCH(B69,Clientes!$A$4:$A$15,0))</f>
        <v>1</v>
      </c>
      <c r="I69" s="16" t="n">
        <f aca="false">ROUND(F69*G69*H69,0)</f>
        <v>21511</v>
      </c>
    </row>
    <row r="70" customFormat="false" ht="15" hidden="false" customHeight="false" outlineLevel="0" collapsed="false">
      <c r="A70" s="14" t="n">
        <v>45292</v>
      </c>
      <c r="B70" s="6" t="s">
        <v>30</v>
      </c>
      <c r="C70" s="6" t="s">
        <v>66</v>
      </c>
      <c r="D70" s="0" t="str">
        <f aca="false">INDEX(Clientes!$B$4:$B$15,MATCH(B70,Clientes!$A$4:$A$15,0))</f>
        <v>Ferretería El Tornillo</v>
      </c>
      <c r="E70" s="0" t="str">
        <f aca="false">INDEX(Catalogo_Servicios!$C$4:$C$24,MATCH(C70,Catalogo_Servicios!$A$4:$A$24,0))</f>
        <v>Declaración mensual de retenciones (D-103)</v>
      </c>
      <c r="F70" s="15" t="n">
        <v>0.25</v>
      </c>
      <c r="G70" s="16" t="n">
        <f aca="false">Parametros!$B$4</f>
        <v>28681</v>
      </c>
      <c r="H70" s="15" t="n">
        <f aca="false">INDEX(Clientes!$E$4:$E$15,MATCH(B70,Clientes!$A$4:$A$15,0))</f>
        <v>1</v>
      </c>
      <c r="I70" s="16" t="n">
        <f aca="false">ROUND(F70*G70*H70,0)</f>
        <v>7170</v>
      </c>
    </row>
    <row r="71" customFormat="false" ht="15" hidden="false" customHeight="false" outlineLevel="0" collapsed="false">
      <c r="A71" s="14" t="n">
        <v>45292</v>
      </c>
      <c r="B71" s="6" t="s">
        <v>31</v>
      </c>
      <c r="C71" s="6" t="s">
        <v>65</v>
      </c>
      <c r="D71" s="0" t="str">
        <f aca="false">INDEX(Clientes!$B$4:$B$15,MATCH(B71,Clientes!$A$4:$A$15,0))</f>
        <v>Clínica Dental Sonrisa</v>
      </c>
      <c r="E71" s="0" t="str">
        <f aca="false">INDEX(Catalogo_Servicios!$C$4:$C$24,MATCH(C71,Catalogo_Servicios!$A$4:$A$24,0))</f>
        <v>Declaración mensual de IVA (D-104)</v>
      </c>
      <c r="F71" s="15" t="n">
        <v>0.75</v>
      </c>
      <c r="G71" s="16" t="n">
        <f aca="false">Parametros!$B$4</f>
        <v>28681</v>
      </c>
      <c r="H71" s="15" t="n">
        <f aca="false">INDEX(Clientes!$E$4:$E$15,MATCH(B71,Clientes!$A$4:$A$15,0))</f>
        <v>1.1</v>
      </c>
      <c r="I71" s="16" t="n">
        <f aca="false">ROUND(F71*G71*H71,0)</f>
        <v>23662</v>
      </c>
    </row>
    <row r="72" customFormat="false" ht="15" hidden="false" customHeight="false" outlineLevel="0" collapsed="false">
      <c r="A72" s="14" t="n">
        <v>45292</v>
      </c>
      <c r="B72" s="6" t="s">
        <v>32</v>
      </c>
      <c r="C72" s="6" t="s">
        <v>65</v>
      </c>
      <c r="D72" s="0" t="str">
        <f aca="false">INDEX(Clientes!$B$4:$B$15,MATCH(B72,Clientes!$A$4:$A$15,0))</f>
        <v>Soda y Restaurante Doña Lela</v>
      </c>
      <c r="E72" s="0" t="str">
        <f aca="false">INDEX(Catalogo_Servicios!$C$4:$C$24,MATCH(C72,Catalogo_Servicios!$A$4:$A$24,0))</f>
        <v>Declaración mensual de IVA (D-104)</v>
      </c>
      <c r="F72" s="15" t="n">
        <v>0.75</v>
      </c>
      <c r="G72" s="16" t="n">
        <f aca="false">Parametros!$B$4</f>
        <v>28681</v>
      </c>
      <c r="H72" s="15" t="n">
        <f aca="false">INDEX(Clientes!$E$4:$E$15,MATCH(B72,Clientes!$A$4:$A$15,0))</f>
        <v>1</v>
      </c>
      <c r="I72" s="16" t="n">
        <f aca="false">ROUND(F72*G72*H72,0)</f>
        <v>21511</v>
      </c>
    </row>
    <row r="73" customFormat="false" ht="15" hidden="false" customHeight="false" outlineLevel="0" collapsed="false">
      <c r="A73" s="14" t="n">
        <v>45292</v>
      </c>
      <c r="B73" s="6" t="s">
        <v>33</v>
      </c>
      <c r="C73" s="6" t="s">
        <v>65</v>
      </c>
      <c r="D73" s="0" t="str">
        <f aca="false">INDEX(Clientes!$B$4:$B$15,MATCH(B73,Clientes!$A$4:$A$15,0))</f>
        <v>Transportes Rápidos del Valle</v>
      </c>
      <c r="E73" s="0" t="str">
        <f aca="false">INDEX(Catalogo_Servicios!$C$4:$C$24,MATCH(C73,Catalogo_Servicios!$A$4:$A$24,0))</f>
        <v>Declaración mensual de IVA (D-104)</v>
      </c>
      <c r="F73" s="15" t="n">
        <v>0.75</v>
      </c>
      <c r="G73" s="16" t="n">
        <f aca="false">Parametros!$B$4</f>
        <v>28681</v>
      </c>
      <c r="H73" s="15" t="n">
        <f aca="false">INDEX(Clientes!$E$4:$E$15,MATCH(B73,Clientes!$A$4:$A$15,0))</f>
        <v>1</v>
      </c>
      <c r="I73" s="16" t="n">
        <f aca="false">ROUND(F73*G73*H73,0)</f>
        <v>21511</v>
      </c>
    </row>
    <row r="74" customFormat="false" ht="15" hidden="false" customHeight="false" outlineLevel="0" collapsed="false">
      <c r="A74" s="14" t="n">
        <v>45292</v>
      </c>
      <c r="B74" s="6" t="s">
        <v>33</v>
      </c>
      <c r="C74" s="6" t="s">
        <v>66</v>
      </c>
      <c r="D74" s="0" t="str">
        <f aca="false">INDEX(Clientes!$B$4:$B$15,MATCH(B74,Clientes!$A$4:$A$15,0))</f>
        <v>Transportes Rápidos del Valle</v>
      </c>
      <c r="E74" s="0" t="str">
        <f aca="false">INDEX(Catalogo_Servicios!$C$4:$C$24,MATCH(C74,Catalogo_Servicios!$A$4:$A$24,0))</f>
        <v>Declaración mensual de retenciones (D-103)</v>
      </c>
      <c r="F74" s="15" t="n">
        <v>0.25</v>
      </c>
      <c r="G74" s="16" t="n">
        <f aca="false">Parametros!$B$4</f>
        <v>28681</v>
      </c>
      <c r="H74" s="15" t="n">
        <f aca="false">INDEX(Clientes!$E$4:$E$15,MATCH(B74,Clientes!$A$4:$A$15,0))</f>
        <v>1</v>
      </c>
      <c r="I74" s="16" t="n">
        <f aca="false">ROUND(F74*G74*H74,0)</f>
        <v>7170</v>
      </c>
    </row>
    <row r="75" customFormat="false" ht="15" hidden="false" customHeight="false" outlineLevel="0" collapsed="false">
      <c r="A75" s="14" t="n">
        <v>45292</v>
      </c>
      <c r="B75" s="6" t="s">
        <v>33</v>
      </c>
      <c r="C75" s="6" t="s">
        <v>67</v>
      </c>
      <c r="D75" s="0" t="str">
        <f aca="false">INDEX(Clientes!$B$4:$B$15,MATCH(B75,Clientes!$A$4:$A$15,0))</f>
        <v>Transportes Rápidos del Valle</v>
      </c>
      <c r="E75" s="0" t="str">
        <f aca="false">INDEX(Catalogo_Servicios!$C$4:$C$24,MATCH(C75,Catalogo_Servicios!$A$4:$A$24,0))</f>
        <v>Cálculo de planillas y cargas sociales (CCSS/INS)</v>
      </c>
      <c r="F75" s="15" t="n">
        <v>6</v>
      </c>
      <c r="G75" s="16" t="n">
        <f aca="false">Parametros!$B$4</f>
        <v>28681</v>
      </c>
      <c r="H75" s="15" t="n">
        <f aca="false">INDEX(Clientes!$E$4:$E$15,MATCH(B75,Clientes!$A$4:$A$15,0))</f>
        <v>1</v>
      </c>
      <c r="I75" s="16" t="n">
        <f aca="false">ROUND(F75*G75*H75,0)</f>
        <v>172086</v>
      </c>
    </row>
    <row r="76" customFormat="false" ht="15" hidden="false" customHeight="false" outlineLevel="0" collapsed="false">
      <c r="A76" s="14" t="n">
        <v>45292</v>
      </c>
      <c r="B76" s="6" t="s">
        <v>33</v>
      </c>
      <c r="C76" s="6" t="s">
        <v>70</v>
      </c>
      <c r="D76" s="0" t="str">
        <f aca="false">INDEX(Clientes!$B$4:$B$15,MATCH(B76,Clientes!$A$4:$A$15,0))</f>
        <v>Transportes Rápidos del Valle</v>
      </c>
      <c r="E76" s="0" t="str">
        <f aca="false">INDEX(Catalogo_Servicios!$C$4:$C$24,MATCH(C76,Catalogo_Servicios!$A$4:$A$24,0))</f>
        <v>Estados financieros anuales / cierre fiscal</v>
      </c>
      <c r="F76" s="15" t="n">
        <v>6</v>
      </c>
      <c r="G76" s="16" t="n">
        <f aca="false">Parametros!$B$4</f>
        <v>28681</v>
      </c>
      <c r="H76" s="15" t="n">
        <f aca="false">INDEX(Clientes!$E$4:$E$15,MATCH(B76,Clientes!$A$4:$A$15,0))</f>
        <v>1</v>
      </c>
      <c r="I76" s="16" t="n">
        <f aca="false">ROUND(F76*G76*H76,0)</f>
        <v>172086</v>
      </c>
    </row>
    <row r="77" customFormat="false" ht="15" hidden="false" customHeight="false" outlineLevel="0" collapsed="false">
      <c r="A77" s="14" t="n">
        <v>45292</v>
      </c>
      <c r="B77" s="6" t="s">
        <v>33</v>
      </c>
      <c r="C77" s="6" t="s">
        <v>71</v>
      </c>
      <c r="D77" s="0" t="str">
        <f aca="false">INDEX(Clientes!$B$4:$B$15,MATCH(B77,Clientes!$A$4:$A$15,0))</f>
        <v>Transportes Rápidos del Valle</v>
      </c>
      <c r="E77" s="0" t="str">
        <f aca="false">INDEX(Catalogo_Servicios!$C$4:$C$24,MATCH(C77,Catalogo_Servicios!$A$4:$A$24,0))</f>
        <v>Conciliación anual de planillas (INS/CCSS)</v>
      </c>
      <c r="F77" s="15" t="n">
        <v>2</v>
      </c>
      <c r="G77" s="16" t="n">
        <f aca="false">Parametros!$B$4</f>
        <v>28681</v>
      </c>
      <c r="H77" s="15" t="n">
        <f aca="false">INDEX(Clientes!$E$4:$E$15,MATCH(B77,Clientes!$A$4:$A$15,0))</f>
        <v>1</v>
      </c>
      <c r="I77" s="16" t="n">
        <f aca="false">ROUND(F77*G77*H77,0)</f>
        <v>57362</v>
      </c>
    </row>
    <row r="78" customFormat="false" ht="15" hidden="false" customHeight="false" outlineLevel="0" collapsed="false">
      <c r="A78" s="14" t="n">
        <v>45292</v>
      </c>
      <c r="B78" s="6" t="s">
        <v>35</v>
      </c>
      <c r="C78" s="6" t="s">
        <v>65</v>
      </c>
      <c r="D78" s="0" t="str">
        <f aca="false">INDEX(Clientes!$B$4:$B$15,MATCH(B78,Clientes!$A$4:$A$15,0))</f>
        <v>Taller Mecánico Hermanos Mora</v>
      </c>
      <c r="E78" s="0" t="str">
        <f aca="false">INDEX(Catalogo_Servicios!$C$4:$C$24,MATCH(C78,Catalogo_Servicios!$A$4:$A$24,0))</f>
        <v>Declaración mensual de IVA (D-104)</v>
      </c>
      <c r="F78" s="15" t="n">
        <v>0.75</v>
      </c>
      <c r="G78" s="16" t="n">
        <f aca="false">Parametros!$B$4</f>
        <v>28681</v>
      </c>
      <c r="H78" s="15" t="n">
        <f aca="false">INDEX(Clientes!$E$4:$E$15,MATCH(B78,Clientes!$A$4:$A$15,0))</f>
        <v>1</v>
      </c>
      <c r="I78" s="16" t="n">
        <f aca="false">ROUND(F78*G78*H78,0)</f>
        <v>21511</v>
      </c>
    </row>
    <row r="79" customFormat="false" ht="15" hidden="false" customHeight="false" outlineLevel="0" collapsed="false">
      <c r="A79" s="14" t="n">
        <v>45292</v>
      </c>
      <c r="B79" s="6" t="s">
        <v>36</v>
      </c>
      <c r="C79" s="6" t="s">
        <v>65</v>
      </c>
      <c r="D79" s="0" t="str">
        <f aca="false">INDEX(Clientes!$B$4:$B$15,MATCH(B79,Clientes!$A$4:$A$15,0))</f>
        <v>Agroservicios Cartago</v>
      </c>
      <c r="E79" s="0" t="str">
        <f aca="false">INDEX(Catalogo_Servicios!$C$4:$C$24,MATCH(C79,Catalogo_Servicios!$A$4:$A$24,0))</f>
        <v>Declaración mensual de IVA (D-104)</v>
      </c>
      <c r="F79" s="15" t="n">
        <v>0.75</v>
      </c>
      <c r="G79" s="16" t="n">
        <f aca="false">Parametros!$B$4</f>
        <v>28681</v>
      </c>
      <c r="H79" s="15" t="n">
        <f aca="false">INDEX(Clientes!$E$4:$E$15,MATCH(B79,Clientes!$A$4:$A$15,0))</f>
        <v>1</v>
      </c>
      <c r="I79" s="16" t="n">
        <f aca="false">ROUND(F79*G79*H79,0)</f>
        <v>21511</v>
      </c>
    </row>
    <row r="80" customFormat="false" ht="15" hidden="false" customHeight="false" outlineLevel="0" collapsed="false">
      <c r="A80" s="14" t="n">
        <v>45292</v>
      </c>
      <c r="B80" s="6" t="s">
        <v>36</v>
      </c>
      <c r="C80" s="6" t="s">
        <v>66</v>
      </c>
      <c r="D80" s="0" t="str">
        <f aca="false">INDEX(Clientes!$B$4:$B$15,MATCH(B80,Clientes!$A$4:$A$15,0))</f>
        <v>Agroservicios Cartago</v>
      </c>
      <c r="E80" s="0" t="str">
        <f aca="false">INDEX(Catalogo_Servicios!$C$4:$C$24,MATCH(C80,Catalogo_Servicios!$A$4:$A$24,0))</f>
        <v>Declaración mensual de retenciones (D-103)</v>
      </c>
      <c r="F80" s="15" t="n">
        <v>0.25</v>
      </c>
      <c r="G80" s="16" t="n">
        <f aca="false">Parametros!$B$4</f>
        <v>28681</v>
      </c>
      <c r="H80" s="15" t="n">
        <f aca="false">INDEX(Clientes!$E$4:$E$15,MATCH(B80,Clientes!$A$4:$A$15,0))</f>
        <v>1</v>
      </c>
      <c r="I80" s="16" t="n">
        <f aca="false">ROUND(F80*G80*H80,0)</f>
        <v>7170</v>
      </c>
    </row>
    <row r="81" customFormat="false" ht="15" hidden="false" customHeight="false" outlineLevel="0" collapsed="false">
      <c r="A81" s="14" t="n">
        <v>45292</v>
      </c>
      <c r="B81" s="6" t="s">
        <v>38</v>
      </c>
      <c r="C81" s="6" t="s">
        <v>68</v>
      </c>
      <c r="D81" s="0" t="str">
        <f aca="false">INDEX(Clientes!$B$4:$B$15,MATCH(B81,Clientes!$A$4:$A$15,0))</f>
        <v>Panadería La Espiga</v>
      </c>
      <c r="E81" s="0" t="str">
        <f aca="false">INDEX(Catalogo_Servicios!$C$4:$C$24,MATCH(C81,Catalogo_Servicios!$A$4:$A$24,0))</f>
        <v>Asesoría contable, financiera y tributaria</v>
      </c>
      <c r="F81" s="15" t="n">
        <v>1.5</v>
      </c>
      <c r="G81" s="16" t="n">
        <f aca="false">Parametros!$B$4</f>
        <v>28681</v>
      </c>
      <c r="H81" s="15" t="n">
        <f aca="false">INDEX(Clientes!$E$4:$E$15,MATCH(B81,Clientes!$A$4:$A$15,0))</f>
        <v>1</v>
      </c>
      <c r="I81" s="16" t="n">
        <f aca="false">ROUND(F81*G81*H81,0)</f>
        <v>43022</v>
      </c>
    </row>
    <row r="82" customFormat="false" ht="15" hidden="false" customHeight="false" outlineLevel="0" collapsed="false">
      <c r="A82" s="14" t="n">
        <v>45292</v>
      </c>
      <c r="B82" s="6" t="s">
        <v>38</v>
      </c>
      <c r="C82" s="6" t="s">
        <v>65</v>
      </c>
      <c r="D82" s="0" t="str">
        <f aca="false">INDEX(Clientes!$B$4:$B$15,MATCH(B82,Clientes!$A$4:$A$15,0))</f>
        <v>Panadería La Espiga</v>
      </c>
      <c r="E82" s="0" t="str">
        <f aca="false">INDEX(Catalogo_Servicios!$C$4:$C$24,MATCH(C82,Catalogo_Servicios!$A$4:$A$24,0))</f>
        <v>Declaración mensual de IVA (D-104)</v>
      </c>
      <c r="F82" s="15" t="n">
        <v>0.75</v>
      </c>
      <c r="G82" s="16" t="n">
        <f aca="false">Parametros!$B$4</f>
        <v>28681</v>
      </c>
      <c r="H82" s="15" t="n">
        <f aca="false">INDEX(Clientes!$E$4:$E$15,MATCH(B82,Clientes!$A$4:$A$15,0))</f>
        <v>1</v>
      </c>
      <c r="I82" s="16" t="n">
        <f aca="false">ROUND(F82*G82*H82,0)</f>
        <v>21511</v>
      </c>
    </row>
    <row r="83" customFormat="false" ht="15" hidden="false" customHeight="false" outlineLevel="0" collapsed="false">
      <c r="A83" s="14" t="n">
        <v>45292</v>
      </c>
      <c r="B83" s="6" t="s">
        <v>38</v>
      </c>
      <c r="C83" s="6" t="s">
        <v>67</v>
      </c>
      <c r="D83" s="0" t="str">
        <f aca="false">INDEX(Clientes!$B$4:$B$15,MATCH(B83,Clientes!$A$4:$A$15,0))</f>
        <v>Panadería La Espiga</v>
      </c>
      <c r="E83" s="0" t="str">
        <f aca="false">INDEX(Catalogo_Servicios!$C$4:$C$24,MATCH(C83,Catalogo_Servicios!$A$4:$A$24,0))</f>
        <v>Cálculo de planillas y cargas sociales (CCSS/INS)</v>
      </c>
      <c r="F83" s="15" t="n">
        <v>6</v>
      </c>
      <c r="G83" s="16" t="n">
        <f aca="false">Parametros!$B$4</f>
        <v>28681</v>
      </c>
      <c r="H83" s="15" t="n">
        <f aca="false">INDEX(Clientes!$E$4:$E$15,MATCH(B83,Clientes!$A$4:$A$15,0))</f>
        <v>1</v>
      </c>
      <c r="I83" s="16" t="n">
        <f aca="false">ROUND(F83*G83*H83,0)</f>
        <v>172086</v>
      </c>
    </row>
    <row r="84" customFormat="false" ht="15" hidden="false" customHeight="false" outlineLevel="0" collapsed="false">
      <c r="A84" s="14" t="n">
        <v>45292</v>
      </c>
      <c r="B84" s="6" t="s">
        <v>38</v>
      </c>
      <c r="C84" s="6" t="s">
        <v>71</v>
      </c>
      <c r="D84" s="0" t="str">
        <f aca="false">INDEX(Clientes!$B$4:$B$15,MATCH(B84,Clientes!$A$4:$A$15,0))</f>
        <v>Panadería La Espiga</v>
      </c>
      <c r="E84" s="0" t="str">
        <f aca="false">INDEX(Catalogo_Servicios!$C$4:$C$24,MATCH(C84,Catalogo_Servicios!$A$4:$A$24,0))</f>
        <v>Conciliación anual de planillas (INS/CCSS)</v>
      </c>
      <c r="F84" s="15" t="n">
        <v>2</v>
      </c>
      <c r="G84" s="16" t="n">
        <f aca="false">Parametros!$B$4</f>
        <v>28681</v>
      </c>
      <c r="H84" s="15" t="n">
        <f aca="false">INDEX(Clientes!$E$4:$E$15,MATCH(B84,Clientes!$A$4:$A$15,0))</f>
        <v>1</v>
      </c>
      <c r="I84" s="16" t="n">
        <f aca="false">ROUND(F84*G84*H84,0)</f>
        <v>57362</v>
      </c>
    </row>
    <row r="85" customFormat="false" ht="15" hidden="false" customHeight="false" outlineLevel="0" collapsed="false">
      <c r="A85" s="14" t="n">
        <v>45323</v>
      </c>
      <c r="B85" s="6" t="s">
        <v>29</v>
      </c>
      <c r="C85" s="6" t="s">
        <v>64</v>
      </c>
      <c r="D85" s="0" t="str">
        <f aca="false">INDEX(Clientes!$B$4:$B$15,MATCH(B85,Clientes!$A$4:$A$15,0))</f>
        <v>Distribuidora Los Andes S.A.</v>
      </c>
      <c r="E85" s="0" t="str">
        <f aca="false">INDEX(Catalogo_Servicios!$C$4:$C$24,MATCH(C85,Catalogo_Servicios!$A$4:$A$24,0))</f>
        <v>Estados financieros mensuales</v>
      </c>
      <c r="F85" s="15" t="n">
        <v>3</v>
      </c>
      <c r="G85" s="16" t="n">
        <f aca="false">Parametros!$B$4</f>
        <v>28681</v>
      </c>
      <c r="H85" s="15" t="n">
        <f aca="false">INDEX(Clientes!$E$4:$E$15,MATCH(B85,Clientes!$A$4:$A$15,0))</f>
        <v>1</v>
      </c>
      <c r="I85" s="16" t="n">
        <f aca="false">ROUND(F85*G85*H85,0)</f>
        <v>86043</v>
      </c>
    </row>
    <row r="86" customFormat="false" ht="15" hidden="false" customHeight="false" outlineLevel="0" collapsed="false">
      <c r="A86" s="14" t="n">
        <v>45323</v>
      </c>
      <c r="B86" s="6" t="s">
        <v>29</v>
      </c>
      <c r="C86" s="6" t="s">
        <v>65</v>
      </c>
      <c r="D86" s="0" t="str">
        <f aca="false">INDEX(Clientes!$B$4:$B$15,MATCH(B86,Clientes!$A$4:$A$15,0))</f>
        <v>Distribuidora Los Andes S.A.</v>
      </c>
      <c r="E86" s="0" t="str">
        <f aca="false">INDEX(Catalogo_Servicios!$C$4:$C$24,MATCH(C86,Catalogo_Servicios!$A$4:$A$24,0))</f>
        <v>Declaración mensual de IVA (D-104)</v>
      </c>
      <c r="F86" s="15" t="n">
        <v>0.75</v>
      </c>
      <c r="G86" s="16" t="n">
        <f aca="false">Parametros!$B$4</f>
        <v>28681</v>
      </c>
      <c r="H86" s="15" t="n">
        <f aca="false">INDEX(Clientes!$E$4:$E$15,MATCH(B86,Clientes!$A$4:$A$15,0))</f>
        <v>1</v>
      </c>
      <c r="I86" s="16" t="n">
        <f aca="false">ROUND(F86*G86*H86,0)</f>
        <v>21511</v>
      </c>
    </row>
    <row r="87" customFormat="false" ht="15" hidden="false" customHeight="false" outlineLevel="0" collapsed="false">
      <c r="A87" s="14" t="n">
        <v>45323</v>
      </c>
      <c r="B87" s="6" t="s">
        <v>29</v>
      </c>
      <c r="C87" s="6" t="s">
        <v>66</v>
      </c>
      <c r="D87" s="0" t="str">
        <f aca="false">INDEX(Clientes!$B$4:$B$15,MATCH(B87,Clientes!$A$4:$A$15,0))</f>
        <v>Distribuidora Los Andes S.A.</v>
      </c>
      <c r="E87" s="0" t="str">
        <f aca="false">INDEX(Catalogo_Servicios!$C$4:$C$24,MATCH(C87,Catalogo_Servicios!$A$4:$A$24,0))</f>
        <v>Declaración mensual de retenciones (D-103)</v>
      </c>
      <c r="F87" s="15" t="n">
        <v>0.25</v>
      </c>
      <c r="G87" s="16" t="n">
        <f aca="false">Parametros!$B$4</f>
        <v>28681</v>
      </c>
      <c r="H87" s="15" t="n">
        <f aca="false">INDEX(Clientes!$E$4:$E$15,MATCH(B87,Clientes!$A$4:$A$15,0))</f>
        <v>1</v>
      </c>
      <c r="I87" s="16" t="n">
        <f aca="false">ROUND(F87*G87*H87,0)</f>
        <v>7170</v>
      </c>
    </row>
    <row r="88" customFormat="false" ht="15" hidden="false" customHeight="false" outlineLevel="0" collapsed="false">
      <c r="A88" s="14" t="n">
        <v>45323</v>
      </c>
      <c r="B88" s="6" t="s">
        <v>29</v>
      </c>
      <c r="C88" s="6" t="s">
        <v>67</v>
      </c>
      <c r="D88" s="0" t="str">
        <f aca="false">INDEX(Clientes!$B$4:$B$15,MATCH(B88,Clientes!$A$4:$A$15,0))</f>
        <v>Distribuidora Los Andes S.A.</v>
      </c>
      <c r="E88" s="0" t="str">
        <f aca="false">INDEX(Catalogo_Servicios!$C$4:$C$24,MATCH(C88,Catalogo_Servicios!$A$4:$A$24,0))</f>
        <v>Cálculo de planillas y cargas sociales (CCSS/INS)</v>
      </c>
      <c r="F88" s="15" t="n">
        <v>22</v>
      </c>
      <c r="G88" s="16" t="n">
        <f aca="false">Parametros!$B$4</f>
        <v>28681</v>
      </c>
      <c r="H88" s="15" t="n">
        <f aca="false">INDEX(Clientes!$E$4:$E$15,MATCH(B88,Clientes!$A$4:$A$15,0))</f>
        <v>1</v>
      </c>
      <c r="I88" s="16" t="n">
        <f aca="false">ROUND(F88*G88*H88,0)</f>
        <v>630982</v>
      </c>
    </row>
    <row r="89" customFormat="false" ht="15" hidden="false" customHeight="false" outlineLevel="0" collapsed="false">
      <c r="A89" s="14" t="n">
        <v>45323</v>
      </c>
      <c r="B89" s="6" t="s">
        <v>29</v>
      </c>
      <c r="C89" s="6" t="s">
        <v>72</v>
      </c>
      <c r="D89" s="0" t="str">
        <f aca="false">INDEX(Clientes!$B$4:$B$15,MATCH(B89,Clientes!$A$4:$A$15,0))</f>
        <v>Distribuidora Los Andes S.A.</v>
      </c>
      <c r="E89" s="0" t="str">
        <f aca="false">INDEX(Catalogo_Servicios!$C$4:$C$24,MATCH(C89,Catalogo_Servicios!$A$4:$A$24,0))</f>
        <v>Declaración informativa anual (D-151)</v>
      </c>
      <c r="F89" s="15" t="n">
        <v>0.5</v>
      </c>
      <c r="G89" s="16" t="n">
        <f aca="false">Parametros!$B$4</f>
        <v>28681</v>
      </c>
      <c r="H89" s="15" t="n">
        <f aca="false">INDEX(Clientes!$E$4:$E$15,MATCH(B89,Clientes!$A$4:$A$15,0))</f>
        <v>1</v>
      </c>
      <c r="I89" s="16" t="n">
        <f aca="false">ROUND(F89*G89*H89,0)</f>
        <v>14341</v>
      </c>
    </row>
    <row r="90" customFormat="false" ht="15" hidden="false" customHeight="false" outlineLevel="0" collapsed="false">
      <c r="A90" s="14" t="n">
        <v>45323</v>
      </c>
      <c r="B90" s="6" t="s">
        <v>30</v>
      </c>
      <c r="C90" s="6" t="s">
        <v>64</v>
      </c>
      <c r="D90" s="0" t="str">
        <f aca="false">INDEX(Clientes!$B$4:$B$15,MATCH(B90,Clientes!$A$4:$A$15,0))</f>
        <v>Ferretería El Tornillo</v>
      </c>
      <c r="E90" s="0" t="str">
        <f aca="false">INDEX(Catalogo_Servicios!$C$4:$C$24,MATCH(C90,Catalogo_Servicios!$A$4:$A$24,0))</f>
        <v>Estados financieros mensuales</v>
      </c>
      <c r="F90" s="15" t="n">
        <v>3</v>
      </c>
      <c r="G90" s="16" t="n">
        <f aca="false">Parametros!$B$4</f>
        <v>28681</v>
      </c>
      <c r="H90" s="15" t="n">
        <f aca="false">INDEX(Clientes!$E$4:$E$15,MATCH(B90,Clientes!$A$4:$A$15,0))</f>
        <v>1</v>
      </c>
      <c r="I90" s="16" t="n">
        <f aca="false">ROUND(F90*G90*H90,0)</f>
        <v>86043</v>
      </c>
    </row>
    <row r="91" customFormat="false" ht="15" hidden="false" customHeight="false" outlineLevel="0" collapsed="false">
      <c r="A91" s="14" t="n">
        <v>45323</v>
      </c>
      <c r="B91" s="6" t="s">
        <v>30</v>
      </c>
      <c r="C91" s="6" t="s">
        <v>65</v>
      </c>
      <c r="D91" s="0" t="str">
        <f aca="false">INDEX(Clientes!$B$4:$B$15,MATCH(B91,Clientes!$A$4:$A$15,0))</f>
        <v>Ferretería El Tornillo</v>
      </c>
      <c r="E91" s="0" t="str">
        <f aca="false">INDEX(Catalogo_Servicios!$C$4:$C$24,MATCH(C91,Catalogo_Servicios!$A$4:$A$24,0))</f>
        <v>Declaración mensual de IVA (D-104)</v>
      </c>
      <c r="F91" s="15" t="n">
        <v>0.75</v>
      </c>
      <c r="G91" s="16" t="n">
        <f aca="false">Parametros!$B$4</f>
        <v>28681</v>
      </c>
      <c r="H91" s="15" t="n">
        <f aca="false">INDEX(Clientes!$E$4:$E$15,MATCH(B91,Clientes!$A$4:$A$15,0))</f>
        <v>1</v>
      </c>
      <c r="I91" s="16" t="n">
        <f aca="false">ROUND(F91*G91*H91,0)</f>
        <v>21511</v>
      </c>
    </row>
    <row r="92" customFormat="false" ht="15" hidden="false" customHeight="false" outlineLevel="0" collapsed="false">
      <c r="A92" s="14" t="n">
        <v>45323</v>
      </c>
      <c r="B92" s="6" t="s">
        <v>30</v>
      </c>
      <c r="C92" s="6" t="s">
        <v>66</v>
      </c>
      <c r="D92" s="0" t="str">
        <f aca="false">INDEX(Clientes!$B$4:$B$15,MATCH(B92,Clientes!$A$4:$A$15,0))</f>
        <v>Ferretería El Tornillo</v>
      </c>
      <c r="E92" s="0" t="str">
        <f aca="false">INDEX(Catalogo_Servicios!$C$4:$C$24,MATCH(C92,Catalogo_Servicios!$A$4:$A$24,0))</f>
        <v>Declaración mensual de retenciones (D-103)</v>
      </c>
      <c r="F92" s="15" t="n">
        <v>0.25</v>
      </c>
      <c r="G92" s="16" t="n">
        <f aca="false">Parametros!$B$4</f>
        <v>28681</v>
      </c>
      <c r="H92" s="15" t="n">
        <f aca="false">INDEX(Clientes!$E$4:$E$15,MATCH(B92,Clientes!$A$4:$A$15,0))</f>
        <v>1</v>
      </c>
      <c r="I92" s="16" t="n">
        <f aca="false">ROUND(F92*G92*H92,0)</f>
        <v>7170</v>
      </c>
    </row>
    <row r="93" customFormat="false" ht="15" hidden="false" customHeight="false" outlineLevel="0" collapsed="false">
      <c r="A93" s="14" t="n">
        <v>45323</v>
      </c>
      <c r="B93" s="6" t="s">
        <v>30</v>
      </c>
      <c r="C93" s="6" t="s">
        <v>72</v>
      </c>
      <c r="D93" s="0" t="str">
        <f aca="false">INDEX(Clientes!$B$4:$B$15,MATCH(B93,Clientes!$A$4:$A$15,0))</f>
        <v>Ferretería El Tornillo</v>
      </c>
      <c r="E93" s="0" t="str">
        <f aca="false">INDEX(Catalogo_Servicios!$C$4:$C$24,MATCH(C93,Catalogo_Servicios!$A$4:$A$24,0))</f>
        <v>Declaración informativa anual (D-151)</v>
      </c>
      <c r="F93" s="15" t="n">
        <v>0.5</v>
      </c>
      <c r="G93" s="16" t="n">
        <f aca="false">Parametros!$B$4</f>
        <v>28681</v>
      </c>
      <c r="H93" s="15" t="n">
        <f aca="false">INDEX(Clientes!$E$4:$E$15,MATCH(B93,Clientes!$A$4:$A$15,0))</f>
        <v>1</v>
      </c>
      <c r="I93" s="16" t="n">
        <f aca="false">ROUND(F93*G93*H93,0)</f>
        <v>14341</v>
      </c>
    </row>
    <row r="94" customFormat="false" ht="15" hidden="false" customHeight="false" outlineLevel="0" collapsed="false">
      <c r="A94" s="14" t="n">
        <v>45323</v>
      </c>
      <c r="B94" s="6" t="s">
        <v>31</v>
      </c>
      <c r="C94" s="6" t="s">
        <v>65</v>
      </c>
      <c r="D94" s="0" t="str">
        <f aca="false">INDEX(Clientes!$B$4:$B$15,MATCH(B94,Clientes!$A$4:$A$15,0))</f>
        <v>Clínica Dental Sonrisa</v>
      </c>
      <c r="E94" s="0" t="str">
        <f aca="false">INDEX(Catalogo_Servicios!$C$4:$C$24,MATCH(C94,Catalogo_Servicios!$A$4:$A$24,0))</f>
        <v>Declaración mensual de IVA (D-104)</v>
      </c>
      <c r="F94" s="15" t="n">
        <v>0.75</v>
      </c>
      <c r="G94" s="16" t="n">
        <f aca="false">Parametros!$B$4</f>
        <v>28681</v>
      </c>
      <c r="H94" s="15" t="n">
        <f aca="false">INDEX(Clientes!$E$4:$E$15,MATCH(B94,Clientes!$A$4:$A$15,0))</f>
        <v>1.1</v>
      </c>
      <c r="I94" s="16" t="n">
        <f aca="false">ROUND(F94*G94*H94,0)</f>
        <v>23662</v>
      </c>
    </row>
    <row r="95" customFormat="false" ht="15" hidden="false" customHeight="false" outlineLevel="0" collapsed="false">
      <c r="A95" s="14" t="n">
        <v>45323</v>
      </c>
      <c r="B95" s="6" t="s">
        <v>31</v>
      </c>
      <c r="C95" s="6" t="s">
        <v>72</v>
      </c>
      <c r="D95" s="0" t="str">
        <f aca="false">INDEX(Clientes!$B$4:$B$15,MATCH(B95,Clientes!$A$4:$A$15,0))</f>
        <v>Clínica Dental Sonrisa</v>
      </c>
      <c r="E95" s="0" t="str">
        <f aca="false">INDEX(Catalogo_Servicios!$C$4:$C$24,MATCH(C95,Catalogo_Servicios!$A$4:$A$24,0))</f>
        <v>Declaración informativa anual (D-151)</v>
      </c>
      <c r="F95" s="15" t="n">
        <v>0.5</v>
      </c>
      <c r="G95" s="16" t="n">
        <f aca="false">Parametros!$B$4</f>
        <v>28681</v>
      </c>
      <c r="H95" s="15" t="n">
        <f aca="false">INDEX(Clientes!$E$4:$E$15,MATCH(B95,Clientes!$A$4:$A$15,0))</f>
        <v>1.1</v>
      </c>
      <c r="I95" s="16" t="n">
        <f aca="false">ROUND(F95*G95*H95,0)</f>
        <v>15775</v>
      </c>
    </row>
    <row r="96" customFormat="false" ht="15" hidden="false" customHeight="false" outlineLevel="0" collapsed="false">
      <c r="A96" s="14" t="n">
        <v>45323</v>
      </c>
      <c r="B96" s="6" t="s">
        <v>32</v>
      </c>
      <c r="C96" s="6" t="s">
        <v>65</v>
      </c>
      <c r="D96" s="0" t="str">
        <f aca="false">INDEX(Clientes!$B$4:$B$15,MATCH(B96,Clientes!$A$4:$A$15,0))</f>
        <v>Soda y Restaurante Doña Lela</v>
      </c>
      <c r="E96" s="0" t="str">
        <f aca="false">INDEX(Catalogo_Servicios!$C$4:$C$24,MATCH(C96,Catalogo_Servicios!$A$4:$A$24,0))</f>
        <v>Declaración mensual de IVA (D-104)</v>
      </c>
      <c r="F96" s="15" t="n">
        <v>0.75</v>
      </c>
      <c r="G96" s="16" t="n">
        <f aca="false">Parametros!$B$4</f>
        <v>28681</v>
      </c>
      <c r="H96" s="15" t="n">
        <f aca="false">INDEX(Clientes!$E$4:$E$15,MATCH(B96,Clientes!$A$4:$A$15,0))</f>
        <v>1</v>
      </c>
      <c r="I96" s="16" t="n">
        <f aca="false">ROUND(F96*G96*H96,0)</f>
        <v>21511</v>
      </c>
    </row>
    <row r="97" customFormat="false" ht="15" hidden="false" customHeight="false" outlineLevel="0" collapsed="false">
      <c r="A97" s="14" t="n">
        <v>45323</v>
      </c>
      <c r="B97" s="6" t="s">
        <v>32</v>
      </c>
      <c r="C97" s="6" t="s">
        <v>72</v>
      </c>
      <c r="D97" s="0" t="str">
        <f aca="false">INDEX(Clientes!$B$4:$B$15,MATCH(B97,Clientes!$A$4:$A$15,0))</f>
        <v>Soda y Restaurante Doña Lela</v>
      </c>
      <c r="E97" s="0" t="str">
        <f aca="false">INDEX(Catalogo_Servicios!$C$4:$C$24,MATCH(C97,Catalogo_Servicios!$A$4:$A$24,0))</f>
        <v>Declaración informativa anual (D-151)</v>
      </c>
      <c r="F97" s="15" t="n">
        <v>0.5</v>
      </c>
      <c r="G97" s="16" t="n">
        <f aca="false">Parametros!$B$4</f>
        <v>28681</v>
      </c>
      <c r="H97" s="15" t="n">
        <f aca="false">INDEX(Clientes!$E$4:$E$15,MATCH(B97,Clientes!$A$4:$A$15,0))</f>
        <v>1</v>
      </c>
      <c r="I97" s="16" t="n">
        <f aca="false">ROUND(F97*G97*H97,0)</f>
        <v>14341</v>
      </c>
    </row>
    <row r="98" customFormat="false" ht="15" hidden="false" customHeight="false" outlineLevel="0" collapsed="false">
      <c r="A98" s="14" t="n">
        <v>45323</v>
      </c>
      <c r="B98" s="6" t="s">
        <v>33</v>
      </c>
      <c r="C98" s="6" t="s">
        <v>65</v>
      </c>
      <c r="D98" s="0" t="str">
        <f aca="false">INDEX(Clientes!$B$4:$B$15,MATCH(B98,Clientes!$A$4:$A$15,0))</f>
        <v>Transportes Rápidos del Valle</v>
      </c>
      <c r="E98" s="0" t="str">
        <f aca="false">INDEX(Catalogo_Servicios!$C$4:$C$24,MATCH(C98,Catalogo_Servicios!$A$4:$A$24,0))</f>
        <v>Declaración mensual de IVA (D-104)</v>
      </c>
      <c r="F98" s="15" t="n">
        <v>0.75</v>
      </c>
      <c r="G98" s="16" t="n">
        <f aca="false">Parametros!$B$4</f>
        <v>28681</v>
      </c>
      <c r="H98" s="15" t="n">
        <f aca="false">INDEX(Clientes!$E$4:$E$15,MATCH(B98,Clientes!$A$4:$A$15,0))</f>
        <v>1</v>
      </c>
      <c r="I98" s="16" t="n">
        <f aca="false">ROUND(F98*G98*H98,0)</f>
        <v>21511</v>
      </c>
    </row>
    <row r="99" customFormat="false" ht="15" hidden="false" customHeight="false" outlineLevel="0" collapsed="false">
      <c r="A99" s="14" t="n">
        <v>45323</v>
      </c>
      <c r="B99" s="6" t="s">
        <v>33</v>
      </c>
      <c r="C99" s="6" t="s">
        <v>66</v>
      </c>
      <c r="D99" s="0" t="str">
        <f aca="false">INDEX(Clientes!$B$4:$B$15,MATCH(B99,Clientes!$A$4:$A$15,0))</f>
        <v>Transportes Rápidos del Valle</v>
      </c>
      <c r="E99" s="0" t="str">
        <f aca="false">INDEX(Catalogo_Servicios!$C$4:$C$24,MATCH(C99,Catalogo_Servicios!$A$4:$A$24,0))</f>
        <v>Declaración mensual de retenciones (D-103)</v>
      </c>
      <c r="F99" s="15" t="n">
        <v>0.25</v>
      </c>
      <c r="G99" s="16" t="n">
        <f aca="false">Parametros!$B$4</f>
        <v>28681</v>
      </c>
      <c r="H99" s="15" t="n">
        <f aca="false">INDEX(Clientes!$E$4:$E$15,MATCH(B99,Clientes!$A$4:$A$15,0))</f>
        <v>1</v>
      </c>
      <c r="I99" s="16" t="n">
        <f aca="false">ROUND(F99*G99*H99,0)</f>
        <v>7170</v>
      </c>
    </row>
    <row r="100" customFormat="false" ht="15" hidden="false" customHeight="false" outlineLevel="0" collapsed="false">
      <c r="A100" s="14" t="n">
        <v>45323</v>
      </c>
      <c r="B100" s="6" t="s">
        <v>33</v>
      </c>
      <c r="C100" s="6" t="s">
        <v>67</v>
      </c>
      <c r="D100" s="0" t="str">
        <f aca="false">INDEX(Clientes!$B$4:$B$15,MATCH(B100,Clientes!$A$4:$A$15,0))</f>
        <v>Transportes Rápidos del Valle</v>
      </c>
      <c r="E100" s="0" t="str">
        <f aca="false">INDEX(Catalogo_Servicios!$C$4:$C$24,MATCH(C100,Catalogo_Servicios!$A$4:$A$24,0))</f>
        <v>Cálculo de planillas y cargas sociales (CCSS/INS)</v>
      </c>
      <c r="F100" s="15" t="n">
        <v>6</v>
      </c>
      <c r="G100" s="16" t="n">
        <f aca="false">Parametros!$B$4</f>
        <v>28681</v>
      </c>
      <c r="H100" s="15" t="n">
        <f aca="false">INDEX(Clientes!$E$4:$E$15,MATCH(B100,Clientes!$A$4:$A$15,0))</f>
        <v>1</v>
      </c>
      <c r="I100" s="16" t="n">
        <f aca="false">ROUND(F100*G100*H100,0)</f>
        <v>172086</v>
      </c>
    </row>
    <row r="101" customFormat="false" ht="15" hidden="false" customHeight="false" outlineLevel="0" collapsed="false">
      <c r="A101" s="14" t="n">
        <v>45323</v>
      </c>
      <c r="B101" s="6" t="s">
        <v>33</v>
      </c>
      <c r="C101" s="6" t="s">
        <v>72</v>
      </c>
      <c r="D101" s="0" t="str">
        <f aca="false">INDEX(Clientes!$B$4:$B$15,MATCH(B101,Clientes!$A$4:$A$15,0))</f>
        <v>Transportes Rápidos del Valle</v>
      </c>
      <c r="E101" s="0" t="str">
        <f aca="false">INDEX(Catalogo_Servicios!$C$4:$C$24,MATCH(C101,Catalogo_Servicios!$A$4:$A$24,0))</f>
        <v>Declaración informativa anual (D-151)</v>
      </c>
      <c r="F101" s="15" t="n">
        <v>0.5</v>
      </c>
      <c r="G101" s="16" t="n">
        <f aca="false">Parametros!$B$4</f>
        <v>28681</v>
      </c>
      <c r="H101" s="15" t="n">
        <f aca="false">INDEX(Clientes!$E$4:$E$15,MATCH(B101,Clientes!$A$4:$A$15,0))</f>
        <v>1</v>
      </c>
      <c r="I101" s="16" t="n">
        <f aca="false">ROUND(F101*G101*H101,0)</f>
        <v>14341</v>
      </c>
    </row>
    <row r="102" customFormat="false" ht="15" hidden="false" customHeight="false" outlineLevel="0" collapsed="false">
      <c r="A102" s="14" t="n">
        <v>45323</v>
      </c>
      <c r="B102" s="6" t="s">
        <v>35</v>
      </c>
      <c r="C102" s="6" t="s">
        <v>65</v>
      </c>
      <c r="D102" s="0" t="str">
        <f aca="false">INDEX(Clientes!$B$4:$B$15,MATCH(B102,Clientes!$A$4:$A$15,0))</f>
        <v>Taller Mecánico Hermanos Mora</v>
      </c>
      <c r="E102" s="0" t="str">
        <f aca="false">INDEX(Catalogo_Servicios!$C$4:$C$24,MATCH(C102,Catalogo_Servicios!$A$4:$A$24,0))</f>
        <v>Declaración mensual de IVA (D-104)</v>
      </c>
      <c r="F102" s="15" t="n">
        <v>0.75</v>
      </c>
      <c r="G102" s="16" t="n">
        <f aca="false">Parametros!$B$4</f>
        <v>28681</v>
      </c>
      <c r="H102" s="15" t="n">
        <f aca="false">INDEX(Clientes!$E$4:$E$15,MATCH(B102,Clientes!$A$4:$A$15,0))</f>
        <v>1</v>
      </c>
      <c r="I102" s="16" t="n">
        <f aca="false">ROUND(F102*G102*H102,0)</f>
        <v>21511</v>
      </c>
    </row>
    <row r="103" customFormat="false" ht="15" hidden="false" customHeight="false" outlineLevel="0" collapsed="false">
      <c r="A103" s="14" t="n">
        <v>45323</v>
      </c>
      <c r="B103" s="6" t="s">
        <v>35</v>
      </c>
      <c r="C103" s="6" t="s">
        <v>72</v>
      </c>
      <c r="D103" s="0" t="str">
        <f aca="false">INDEX(Clientes!$B$4:$B$15,MATCH(B103,Clientes!$A$4:$A$15,0))</f>
        <v>Taller Mecánico Hermanos Mora</v>
      </c>
      <c r="E103" s="0" t="str">
        <f aca="false">INDEX(Catalogo_Servicios!$C$4:$C$24,MATCH(C103,Catalogo_Servicios!$A$4:$A$24,0))</f>
        <v>Declaración informativa anual (D-151)</v>
      </c>
      <c r="F103" s="15" t="n">
        <v>0.5</v>
      </c>
      <c r="G103" s="16" t="n">
        <f aca="false">Parametros!$B$4</f>
        <v>28681</v>
      </c>
      <c r="H103" s="15" t="n">
        <f aca="false">INDEX(Clientes!$E$4:$E$15,MATCH(B103,Clientes!$A$4:$A$15,0))</f>
        <v>1</v>
      </c>
      <c r="I103" s="16" t="n">
        <f aca="false">ROUND(F103*G103*H103,0)</f>
        <v>14341</v>
      </c>
    </row>
    <row r="104" customFormat="false" ht="15" hidden="false" customHeight="false" outlineLevel="0" collapsed="false">
      <c r="A104" s="14" t="n">
        <v>45323</v>
      </c>
      <c r="B104" s="6" t="s">
        <v>36</v>
      </c>
      <c r="C104" s="6" t="s">
        <v>65</v>
      </c>
      <c r="D104" s="0" t="str">
        <f aca="false">INDEX(Clientes!$B$4:$B$15,MATCH(B104,Clientes!$A$4:$A$15,0))</f>
        <v>Agroservicios Cartago</v>
      </c>
      <c r="E104" s="0" t="str">
        <f aca="false">INDEX(Catalogo_Servicios!$C$4:$C$24,MATCH(C104,Catalogo_Servicios!$A$4:$A$24,0))</f>
        <v>Declaración mensual de IVA (D-104)</v>
      </c>
      <c r="F104" s="15" t="n">
        <v>0.75</v>
      </c>
      <c r="G104" s="16" t="n">
        <f aca="false">Parametros!$B$4</f>
        <v>28681</v>
      </c>
      <c r="H104" s="15" t="n">
        <f aca="false">INDEX(Clientes!$E$4:$E$15,MATCH(B104,Clientes!$A$4:$A$15,0))</f>
        <v>1</v>
      </c>
      <c r="I104" s="16" t="n">
        <f aca="false">ROUND(F104*G104*H104,0)</f>
        <v>21511</v>
      </c>
    </row>
    <row r="105" customFormat="false" ht="15" hidden="false" customHeight="false" outlineLevel="0" collapsed="false">
      <c r="A105" s="14" t="n">
        <v>45323</v>
      </c>
      <c r="B105" s="6" t="s">
        <v>36</v>
      </c>
      <c r="C105" s="6" t="s">
        <v>66</v>
      </c>
      <c r="D105" s="0" t="str">
        <f aca="false">INDEX(Clientes!$B$4:$B$15,MATCH(B105,Clientes!$A$4:$A$15,0))</f>
        <v>Agroservicios Cartago</v>
      </c>
      <c r="E105" s="0" t="str">
        <f aca="false">INDEX(Catalogo_Servicios!$C$4:$C$24,MATCH(C105,Catalogo_Servicios!$A$4:$A$24,0))</f>
        <v>Declaración mensual de retenciones (D-103)</v>
      </c>
      <c r="F105" s="15" t="n">
        <v>0.25</v>
      </c>
      <c r="G105" s="16" t="n">
        <f aca="false">Parametros!$B$4</f>
        <v>28681</v>
      </c>
      <c r="H105" s="15" t="n">
        <f aca="false">INDEX(Clientes!$E$4:$E$15,MATCH(B105,Clientes!$A$4:$A$15,0))</f>
        <v>1</v>
      </c>
      <c r="I105" s="16" t="n">
        <f aca="false">ROUND(F105*G105*H105,0)</f>
        <v>7170</v>
      </c>
    </row>
    <row r="106" customFormat="false" ht="15" hidden="false" customHeight="false" outlineLevel="0" collapsed="false">
      <c r="A106" s="14" t="n">
        <v>45323</v>
      </c>
      <c r="B106" s="6" t="s">
        <v>36</v>
      </c>
      <c r="C106" s="6" t="s">
        <v>72</v>
      </c>
      <c r="D106" s="0" t="str">
        <f aca="false">INDEX(Clientes!$B$4:$B$15,MATCH(B106,Clientes!$A$4:$A$15,0))</f>
        <v>Agroservicios Cartago</v>
      </c>
      <c r="E106" s="0" t="str">
        <f aca="false">INDEX(Catalogo_Servicios!$C$4:$C$24,MATCH(C106,Catalogo_Servicios!$A$4:$A$24,0))</f>
        <v>Declaración informativa anual (D-151)</v>
      </c>
      <c r="F106" s="15" t="n">
        <v>0.5</v>
      </c>
      <c r="G106" s="16" t="n">
        <f aca="false">Parametros!$B$4</f>
        <v>28681</v>
      </c>
      <c r="H106" s="15" t="n">
        <f aca="false">INDEX(Clientes!$E$4:$E$15,MATCH(B106,Clientes!$A$4:$A$15,0))</f>
        <v>1</v>
      </c>
      <c r="I106" s="16" t="n">
        <f aca="false">ROUND(F106*G106*H106,0)</f>
        <v>14341</v>
      </c>
    </row>
    <row r="107" customFormat="false" ht="15" hidden="false" customHeight="false" outlineLevel="0" collapsed="false">
      <c r="A107" s="14" t="n">
        <v>45323</v>
      </c>
      <c r="B107" s="6" t="s">
        <v>38</v>
      </c>
      <c r="C107" s="6" t="s">
        <v>65</v>
      </c>
      <c r="D107" s="0" t="str">
        <f aca="false">INDEX(Clientes!$B$4:$B$15,MATCH(B107,Clientes!$A$4:$A$15,0))</f>
        <v>Panadería La Espiga</v>
      </c>
      <c r="E107" s="0" t="str">
        <f aca="false">INDEX(Catalogo_Servicios!$C$4:$C$24,MATCH(C107,Catalogo_Servicios!$A$4:$A$24,0))</f>
        <v>Declaración mensual de IVA (D-104)</v>
      </c>
      <c r="F107" s="15" t="n">
        <v>0.75</v>
      </c>
      <c r="G107" s="16" t="n">
        <f aca="false">Parametros!$B$4</f>
        <v>28681</v>
      </c>
      <c r="H107" s="15" t="n">
        <f aca="false">INDEX(Clientes!$E$4:$E$15,MATCH(B107,Clientes!$A$4:$A$15,0))</f>
        <v>1</v>
      </c>
      <c r="I107" s="16" t="n">
        <f aca="false">ROUND(F107*G107*H107,0)</f>
        <v>21511</v>
      </c>
    </row>
    <row r="108" customFormat="false" ht="15" hidden="false" customHeight="false" outlineLevel="0" collapsed="false">
      <c r="A108" s="14" t="n">
        <v>45323</v>
      </c>
      <c r="B108" s="6" t="s">
        <v>38</v>
      </c>
      <c r="C108" s="6" t="s">
        <v>67</v>
      </c>
      <c r="D108" s="0" t="str">
        <f aca="false">INDEX(Clientes!$B$4:$B$15,MATCH(B108,Clientes!$A$4:$A$15,0))</f>
        <v>Panadería La Espiga</v>
      </c>
      <c r="E108" s="0" t="str">
        <f aca="false">INDEX(Catalogo_Servicios!$C$4:$C$24,MATCH(C108,Catalogo_Servicios!$A$4:$A$24,0))</f>
        <v>Cálculo de planillas y cargas sociales (CCSS/INS)</v>
      </c>
      <c r="F108" s="15" t="n">
        <v>7</v>
      </c>
      <c r="G108" s="16" t="n">
        <f aca="false">Parametros!$B$4</f>
        <v>28681</v>
      </c>
      <c r="H108" s="15" t="n">
        <f aca="false">INDEX(Clientes!$E$4:$E$15,MATCH(B108,Clientes!$A$4:$A$15,0))</f>
        <v>1</v>
      </c>
      <c r="I108" s="16" t="n">
        <f aca="false">ROUND(F108*G108*H108,0)</f>
        <v>200767</v>
      </c>
    </row>
    <row r="109" customFormat="false" ht="15" hidden="false" customHeight="false" outlineLevel="0" collapsed="false">
      <c r="A109" s="14" t="n">
        <v>45323</v>
      </c>
      <c r="B109" s="6" t="s">
        <v>38</v>
      </c>
      <c r="C109" s="6" t="s">
        <v>72</v>
      </c>
      <c r="D109" s="0" t="str">
        <f aca="false">INDEX(Clientes!$B$4:$B$15,MATCH(B109,Clientes!$A$4:$A$15,0))</f>
        <v>Panadería La Espiga</v>
      </c>
      <c r="E109" s="0" t="str">
        <f aca="false">INDEX(Catalogo_Servicios!$C$4:$C$24,MATCH(C109,Catalogo_Servicios!$A$4:$A$24,0))</f>
        <v>Declaración informativa anual (D-151)</v>
      </c>
      <c r="F109" s="15" t="n">
        <v>0.5</v>
      </c>
      <c r="G109" s="16" t="n">
        <f aca="false">Parametros!$B$4</f>
        <v>28681</v>
      </c>
      <c r="H109" s="15" t="n">
        <f aca="false">INDEX(Clientes!$E$4:$E$15,MATCH(B109,Clientes!$A$4:$A$15,0))</f>
        <v>1</v>
      </c>
      <c r="I109" s="16" t="n">
        <f aca="false">ROUND(F109*G109*H109,0)</f>
        <v>14341</v>
      </c>
    </row>
    <row r="110" customFormat="false" ht="15" hidden="false" customHeight="false" outlineLevel="0" collapsed="false">
      <c r="A110" s="14" t="n">
        <v>45323</v>
      </c>
      <c r="B110" s="6" t="s">
        <v>39</v>
      </c>
      <c r="C110" s="6" t="s">
        <v>68</v>
      </c>
      <c r="D110" s="0" t="str">
        <f aca="false">INDEX(Clientes!$B$4:$B$15,MATCH(B110,Clientes!$A$4:$A$15,0))</f>
        <v>Consultores TIC Pura Vida</v>
      </c>
      <c r="E110" s="0" t="str">
        <f aca="false">INDEX(Catalogo_Servicios!$C$4:$C$24,MATCH(C110,Catalogo_Servicios!$A$4:$A$24,0))</f>
        <v>Asesoría contable, financiera y tributaria</v>
      </c>
      <c r="F110" s="15" t="n">
        <v>1</v>
      </c>
      <c r="G110" s="16" t="n">
        <f aca="false">Parametros!$B$4</f>
        <v>28681</v>
      </c>
      <c r="H110" s="15" t="n">
        <f aca="false">INDEX(Clientes!$E$4:$E$15,MATCH(B110,Clientes!$A$4:$A$15,0))</f>
        <v>1</v>
      </c>
      <c r="I110" s="16" t="n">
        <f aca="false">ROUND(F110*G110*H110,0)</f>
        <v>28681</v>
      </c>
    </row>
    <row r="111" customFormat="false" ht="15" hidden="false" customHeight="false" outlineLevel="0" collapsed="false">
      <c r="A111" s="14" t="n">
        <v>45352</v>
      </c>
      <c r="B111" s="6" t="s">
        <v>29</v>
      </c>
      <c r="C111" s="6" t="s">
        <v>64</v>
      </c>
      <c r="D111" s="0" t="str">
        <f aca="false">INDEX(Clientes!$B$4:$B$15,MATCH(B111,Clientes!$A$4:$A$15,0))</f>
        <v>Distribuidora Los Andes S.A.</v>
      </c>
      <c r="E111" s="0" t="str">
        <f aca="false">INDEX(Catalogo_Servicios!$C$4:$C$24,MATCH(C111,Catalogo_Servicios!$A$4:$A$24,0))</f>
        <v>Estados financieros mensuales</v>
      </c>
      <c r="F111" s="15" t="n">
        <v>3</v>
      </c>
      <c r="G111" s="16" t="n">
        <f aca="false">Parametros!$B$4</f>
        <v>28681</v>
      </c>
      <c r="H111" s="15" t="n">
        <f aca="false">INDEX(Clientes!$E$4:$E$15,MATCH(B111,Clientes!$A$4:$A$15,0))</f>
        <v>1</v>
      </c>
      <c r="I111" s="16" t="n">
        <f aca="false">ROUND(F111*G111*H111,0)</f>
        <v>86043</v>
      </c>
    </row>
    <row r="112" customFormat="false" ht="15" hidden="false" customHeight="false" outlineLevel="0" collapsed="false">
      <c r="A112" s="14" t="n">
        <v>45352</v>
      </c>
      <c r="B112" s="6" t="s">
        <v>29</v>
      </c>
      <c r="C112" s="6" t="s">
        <v>65</v>
      </c>
      <c r="D112" s="0" t="str">
        <f aca="false">INDEX(Clientes!$B$4:$B$15,MATCH(B112,Clientes!$A$4:$A$15,0))</f>
        <v>Distribuidora Los Andes S.A.</v>
      </c>
      <c r="E112" s="0" t="str">
        <f aca="false">INDEX(Catalogo_Servicios!$C$4:$C$24,MATCH(C112,Catalogo_Servicios!$A$4:$A$24,0))</f>
        <v>Declaración mensual de IVA (D-104)</v>
      </c>
      <c r="F112" s="15" t="n">
        <v>0.75</v>
      </c>
      <c r="G112" s="16" t="n">
        <f aca="false">Parametros!$B$4</f>
        <v>28681</v>
      </c>
      <c r="H112" s="15" t="n">
        <f aca="false">INDEX(Clientes!$E$4:$E$15,MATCH(B112,Clientes!$A$4:$A$15,0))</f>
        <v>1</v>
      </c>
      <c r="I112" s="16" t="n">
        <f aca="false">ROUND(F112*G112*H112,0)</f>
        <v>21511</v>
      </c>
    </row>
    <row r="113" customFormat="false" ht="15" hidden="false" customHeight="false" outlineLevel="0" collapsed="false">
      <c r="A113" s="14" t="n">
        <v>45352</v>
      </c>
      <c r="B113" s="6" t="s">
        <v>29</v>
      </c>
      <c r="C113" s="6" t="s">
        <v>66</v>
      </c>
      <c r="D113" s="0" t="str">
        <f aca="false">INDEX(Clientes!$B$4:$B$15,MATCH(B113,Clientes!$A$4:$A$15,0))</f>
        <v>Distribuidora Los Andes S.A.</v>
      </c>
      <c r="E113" s="0" t="str">
        <f aca="false">INDEX(Catalogo_Servicios!$C$4:$C$24,MATCH(C113,Catalogo_Servicios!$A$4:$A$24,0))</f>
        <v>Declaración mensual de retenciones (D-103)</v>
      </c>
      <c r="F113" s="15" t="n">
        <v>0.25</v>
      </c>
      <c r="G113" s="16" t="n">
        <f aca="false">Parametros!$B$4</f>
        <v>28681</v>
      </c>
      <c r="H113" s="15" t="n">
        <f aca="false">INDEX(Clientes!$E$4:$E$15,MATCH(B113,Clientes!$A$4:$A$15,0))</f>
        <v>1</v>
      </c>
      <c r="I113" s="16" t="n">
        <f aca="false">ROUND(F113*G113*H113,0)</f>
        <v>7170</v>
      </c>
    </row>
    <row r="114" customFormat="false" ht="15" hidden="false" customHeight="false" outlineLevel="0" collapsed="false">
      <c r="A114" s="14" t="n">
        <v>45352</v>
      </c>
      <c r="B114" s="6" t="s">
        <v>29</v>
      </c>
      <c r="C114" s="6" t="s">
        <v>67</v>
      </c>
      <c r="D114" s="0" t="str">
        <f aca="false">INDEX(Clientes!$B$4:$B$15,MATCH(B114,Clientes!$A$4:$A$15,0))</f>
        <v>Distribuidora Los Andes S.A.</v>
      </c>
      <c r="E114" s="0" t="str">
        <f aca="false">INDEX(Catalogo_Servicios!$C$4:$C$24,MATCH(C114,Catalogo_Servicios!$A$4:$A$24,0))</f>
        <v>Cálculo de planillas y cargas sociales (CCSS/INS)</v>
      </c>
      <c r="F114" s="15" t="n">
        <v>21</v>
      </c>
      <c r="G114" s="16" t="n">
        <f aca="false">Parametros!$B$4</f>
        <v>28681</v>
      </c>
      <c r="H114" s="15" t="n">
        <f aca="false">INDEX(Clientes!$E$4:$E$15,MATCH(B114,Clientes!$A$4:$A$15,0))</f>
        <v>1</v>
      </c>
      <c r="I114" s="16" t="n">
        <f aca="false">ROUND(F114*G114*H114,0)</f>
        <v>602301</v>
      </c>
    </row>
    <row r="115" customFormat="false" ht="15" hidden="false" customHeight="false" outlineLevel="0" collapsed="false">
      <c r="A115" s="14" t="n">
        <v>45352</v>
      </c>
      <c r="B115" s="6" t="s">
        <v>30</v>
      </c>
      <c r="C115" s="6" t="s">
        <v>64</v>
      </c>
      <c r="D115" s="0" t="str">
        <f aca="false">INDEX(Clientes!$B$4:$B$15,MATCH(B115,Clientes!$A$4:$A$15,0))</f>
        <v>Ferretería El Tornillo</v>
      </c>
      <c r="E115" s="0" t="str">
        <f aca="false">INDEX(Catalogo_Servicios!$C$4:$C$24,MATCH(C115,Catalogo_Servicios!$A$4:$A$24,0))</f>
        <v>Estados financieros mensuales</v>
      </c>
      <c r="F115" s="15" t="n">
        <v>3.25</v>
      </c>
      <c r="G115" s="16" t="n">
        <f aca="false">Parametros!$B$4</f>
        <v>28681</v>
      </c>
      <c r="H115" s="15" t="n">
        <f aca="false">INDEX(Clientes!$E$4:$E$15,MATCH(B115,Clientes!$A$4:$A$15,0))</f>
        <v>1</v>
      </c>
      <c r="I115" s="16" t="n">
        <f aca="false">ROUND(F115*G115*H115,0)</f>
        <v>93213</v>
      </c>
    </row>
    <row r="116" customFormat="false" ht="15" hidden="false" customHeight="false" outlineLevel="0" collapsed="false">
      <c r="A116" s="14" t="n">
        <v>45352</v>
      </c>
      <c r="B116" s="6" t="s">
        <v>30</v>
      </c>
      <c r="C116" s="6" t="s">
        <v>65</v>
      </c>
      <c r="D116" s="0" t="str">
        <f aca="false">INDEX(Clientes!$B$4:$B$15,MATCH(B116,Clientes!$A$4:$A$15,0))</f>
        <v>Ferretería El Tornillo</v>
      </c>
      <c r="E116" s="0" t="str">
        <f aca="false">INDEX(Catalogo_Servicios!$C$4:$C$24,MATCH(C116,Catalogo_Servicios!$A$4:$A$24,0))</f>
        <v>Declaración mensual de IVA (D-104)</v>
      </c>
      <c r="F116" s="15" t="n">
        <v>0.75</v>
      </c>
      <c r="G116" s="16" t="n">
        <f aca="false">Parametros!$B$4</f>
        <v>28681</v>
      </c>
      <c r="H116" s="15" t="n">
        <f aca="false">INDEX(Clientes!$E$4:$E$15,MATCH(B116,Clientes!$A$4:$A$15,0))</f>
        <v>1</v>
      </c>
      <c r="I116" s="16" t="n">
        <f aca="false">ROUND(F116*G116*H116,0)</f>
        <v>21511</v>
      </c>
    </row>
    <row r="117" customFormat="false" ht="15" hidden="false" customHeight="false" outlineLevel="0" collapsed="false">
      <c r="A117" s="14" t="n">
        <v>45352</v>
      </c>
      <c r="B117" s="6" t="s">
        <v>30</v>
      </c>
      <c r="C117" s="6" t="s">
        <v>66</v>
      </c>
      <c r="D117" s="0" t="str">
        <f aca="false">INDEX(Clientes!$B$4:$B$15,MATCH(B117,Clientes!$A$4:$A$15,0))</f>
        <v>Ferretería El Tornillo</v>
      </c>
      <c r="E117" s="0" t="str">
        <f aca="false">INDEX(Catalogo_Servicios!$C$4:$C$24,MATCH(C117,Catalogo_Servicios!$A$4:$A$24,0))</f>
        <v>Declaración mensual de retenciones (D-103)</v>
      </c>
      <c r="F117" s="15" t="n">
        <v>0.25</v>
      </c>
      <c r="G117" s="16" t="n">
        <f aca="false">Parametros!$B$4</f>
        <v>28681</v>
      </c>
      <c r="H117" s="15" t="n">
        <f aca="false">INDEX(Clientes!$E$4:$E$15,MATCH(B117,Clientes!$A$4:$A$15,0))</f>
        <v>1</v>
      </c>
      <c r="I117" s="16" t="n">
        <f aca="false">ROUND(F117*G117*H117,0)</f>
        <v>7170</v>
      </c>
    </row>
    <row r="118" customFormat="false" ht="15" hidden="false" customHeight="false" outlineLevel="0" collapsed="false">
      <c r="A118" s="14" t="n">
        <v>45352</v>
      </c>
      <c r="B118" s="6" t="s">
        <v>30</v>
      </c>
      <c r="C118" s="6" t="s">
        <v>69</v>
      </c>
      <c r="D118" s="0" t="str">
        <f aca="false">INDEX(Clientes!$B$4:$B$15,MATCH(B118,Clientes!$A$4:$A$15,0))</f>
        <v>Ferretería El Tornillo</v>
      </c>
      <c r="E118" s="0" t="str">
        <f aca="false">INDEX(Catalogo_Servicios!$C$4:$C$24,MATCH(C118,Catalogo_Servicios!$A$4:$A$24,0))</f>
        <v>Declaración anual de renta (D-101 / D-105)</v>
      </c>
      <c r="F118" s="15" t="n">
        <v>1.5</v>
      </c>
      <c r="G118" s="16" t="n">
        <f aca="false">Parametros!$B$4</f>
        <v>28681</v>
      </c>
      <c r="H118" s="15" t="n">
        <f aca="false">INDEX(Clientes!$E$4:$E$15,MATCH(B118,Clientes!$A$4:$A$15,0))</f>
        <v>1</v>
      </c>
      <c r="I118" s="16" t="n">
        <f aca="false">ROUND(F118*G118*H118,0)</f>
        <v>43022</v>
      </c>
    </row>
    <row r="119" customFormat="false" ht="15" hidden="false" customHeight="false" outlineLevel="0" collapsed="false">
      <c r="A119" s="14" t="n">
        <v>45352</v>
      </c>
      <c r="B119" s="6" t="s">
        <v>30</v>
      </c>
      <c r="C119" s="6" t="s">
        <v>70</v>
      </c>
      <c r="D119" s="0" t="str">
        <f aca="false">INDEX(Clientes!$B$4:$B$15,MATCH(B119,Clientes!$A$4:$A$15,0))</f>
        <v>Ferretería El Tornillo</v>
      </c>
      <c r="E119" s="0" t="str">
        <f aca="false">INDEX(Catalogo_Servicios!$C$4:$C$24,MATCH(C119,Catalogo_Servicios!$A$4:$A$24,0))</f>
        <v>Estados financieros anuales / cierre fiscal</v>
      </c>
      <c r="F119" s="15" t="n">
        <v>6</v>
      </c>
      <c r="G119" s="16" t="n">
        <f aca="false">Parametros!$B$4</f>
        <v>28681</v>
      </c>
      <c r="H119" s="15" t="n">
        <f aca="false">INDEX(Clientes!$E$4:$E$15,MATCH(B119,Clientes!$A$4:$A$15,0))</f>
        <v>1</v>
      </c>
      <c r="I119" s="16" t="n">
        <f aca="false">ROUND(F119*G119*H119,0)</f>
        <v>172086</v>
      </c>
    </row>
    <row r="120" customFormat="false" ht="15" hidden="false" customHeight="false" outlineLevel="0" collapsed="false">
      <c r="A120" s="14" t="n">
        <v>45352</v>
      </c>
      <c r="B120" s="6" t="s">
        <v>31</v>
      </c>
      <c r="C120" s="6" t="s">
        <v>65</v>
      </c>
      <c r="D120" s="0" t="str">
        <f aca="false">INDEX(Clientes!$B$4:$B$15,MATCH(B120,Clientes!$A$4:$A$15,0))</f>
        <v>Clínica Dental Sonrisa</v>
      </c>
      <c r="E120" s="0" t="str">
        <f aca="false">INDEX(Catalogo_Servicios!$C$4:$C$24,MATCH(C120,Catalogo_Servicios!$A$4:$A$24,0))</f>
        <v>Declaración mensual de IVA (D-104)</v>
      </c>
      <c r="F120" s="15" t="n">
        <v>0.75</v>
      </c>
      <c r="G120" s="16" t="n">
        <f aca="false">Parametros!$B$4</f>
        <v>28681</v>
      </c>
      <c r="H120" s="15" t="n">
        <f aca="false">INDEX(Clientes!$E$4:$E$15,MATCH(B120,Clientes!$A$4:$A$15,0))</f>
        <v>1.1</v>
      </c>
      <c r="I120" s="16" t="n">
        <f aca="false">ROUND(F120*G120*H120,0)</f>
        <v>23662</v>
      </c>
    </row>
    <row r="121" customFormat="false" ht="15" hidden="false" customHeight="false" outlineLevel="0" collapsed="false">
      <c r="A121" s="14" t="n">
        <v>45352</v>
      </c>
      <c r="B121" s="6" t="s">
        <v>32</v>
      </c>
      <c r="C121" s="6" t="s">
        <v>65</v>
      </c>
      <c r="D121" s="0" t="str">
        <f aca="false">INDEX(Clientes!$B$4:$B$15,MATCH(B121,Clientes!$A$4:$A$15,0))</f>
        <v>Soda y Restaurante Doña Lela</v>
      </c>
      <c r="E121" s="0" t="str">
        <f aca="false">INDEX(Catalogo_Servicios!$C$4:$C$24,MATCH(C121,Catalogo_Servicios!$A$4:$A$24,0))</f>
        <v>Declaración mensual de IVA (D-104)</v>
      </c>
      <c r="F121" s="15" t="n">
        <v>0.75</v>
      </c>
      <c r="G121" s="16" t="n">
        <f aca="false">Parametros!$B$4</f>
        <v>28681</v>
      </c>
      <c r="H121" s="15" t="n">
        <f aca="false">INDEX(Clientes!$E$4:$E$15,MATCH(B121,Clientes!$A$4:$A$15,0))</f>
        <v>1</v>
      </c>
      <c r="I121" s="16" t="n">
        <f aca="false">ROUND(F121*G121*H121,0)</f>
        <v>21511</v>
      </c>
    </row>
    <row r="122" customFormat="false" ht="15" hidden="false" customHeight="false" outlineLevel="0" collapsed="false">
      <c r="A122" s="14" t="n">
        <v>45352</v>
      </c>
      <c r="B122" s="6" t="s">
        <v>33</v>
      </c>
      <c r="C122" s="6" t="s">
        <v>65</v>
      </c>
      <c r="D122" s="0" t="str">
        <f aca="false">INDEX(Clientes!$B$4:$B$15,MATCH(B122,Clientes!$A$4:$A$15,0))</f>
        <v>Transportes Rápidos del Valle</v>
      </c>
      <c r="E122" s="0" t="str">
        <f aca="false">INDEX(Catalogo_Servicios!$C$4:$C$24,MATCH(C122,Catalogo_Servicios!$A$4:$A$24,0))</f>
        <v>Declaración mensual de IVA (D-104)</v>
      </c>
      <c r="F122" s="15" t="n">
        <v>0.75</v>
      </c>
      <c r="G122" s="16" t="n">
        <f aca="false">Parametros!$B$4</f>
        <v>28681</v>
      </c>
      <c r="H122" s="15" t="n">
        <f aca="false">INDEX(Clientes!$E$4:$E$15,MATCH(B122,Clientes!$A$4:$A$15,0))</f>
        <v>1</v>
      </c>
      <c r="I122" s="16" t="n">
        <f aca="false">ROUND(F122*G122*H122,0)</f>
        <v>21511</v>
      </c>
    </row>
    <row r="123" customFormat="false" ht="15" hidden="false" customHeight="false" outlineLevel="0" collapsed="false">
      <c r="A123" s="14" t="n">
        <v>45352</v>
      </c>
      <c r="B123" s="6" t="s">
        <v>33</v>
      </c>
      <c r="C123" s="6" t="s">
        <v>66</v>
      </c>
      <c r="D123" s="0" t="str">
        <f aca="false">INDEX(Clientes!$B$4:$B$15,MATCH(B123,Clientes!$A$4:$A$15,0))</f>
        <v>Transportes Rápidos del Valle</v>
      </c>
      <c r="E123" s="0" t="str">
        <f aca="false">INDEX(Catalogo_Servicios!$C$4:$C$24,MATCH(C123,Catalogo_Servicios!$A$4:$A$24,0))</f>
        <v>Declaración mensual de retenciones (D-103)</v>
      </c>
      <c r="F123" s="15" t="n">
        <v>0.25</v>
      </c>
      <c r="G123" s="16" t="n">
        <f aca="false">Parametros!$B$4</f>
        <v>28681</v>
      </c>
      <c r="H123" s="15" t="n">
        <f aca="false">INDEX(Clientes!$E$4:$E$15,MATCH(B123,Clientes!$A$4:$A$15,0))</f>
        <v>1</v>
      </c>
      <c r="I123" s="16" t="n">
        <f aca="false">ROUND(F123*G123*H123,0)</f>
        <v>7170</v>
      </c>
    </row>
    <row r="124" customFormat="false" ht="15" hidden="false" customHeight="false" outlineLevel="0" collapsed="false">
      <c r="A124" s="14" t="n">
        <v>45352</v>
      </c>
      <c r="B124" s="6" t="s">
        <v>33</v>
      </c>
      <c r="C124" s="6" t="s">
        <v>67</v>
      </c>
      <c r="D124" s="0" t="str">
        <f aca="false">INDEX(Clientes!$B$4:$B$15,MATCH(B124,Clientes!$A$4:$A$15,0))</f>
        <v>Transportes Rápidos del Valle</v>
      </c>
      <c r="E124" s="0" t="str">
        <f aca="false">INDEX(Catalogo_Servicios!$C$4:$C$24,MATCH(C124,Catalogo_Servicios!$A$4:$A$24,0))</f>
        <v>Cálculo de planillas y cargas sociales (CCSS/INS)</v>
      </c>
      <c r="F124" s="15" t="n">
        <v>5</v>
      </c>
      <c r="G124" s="16" t="n">
        <f aca="false">Parametros!$B$4</f>
        <v>28681</v>
      </c>
      <c r="H124" s="15" t="n">
        <f aca="false">INDEX(Clientes!$E$4:$E$15,MATCH(B124,Clientes!$A$4:$A$15,0))</f>
        <v>1</v>
      </c>
      <c r="I124" s="16" t="n">
        <f aca="false">ROUND(F124*G124*H124,0)</f>
        <v>143405</v>
      </c>
    </row>
    <row r="125" customFormat="false" ht="15" hidden="false" customHeight="false" outlineLevel="0" collapsed="false">
      <c r="A125" s="14" t="n">
        <v>45352</v>
      </c>
      <c r="B125" s="6" t="s">
        <v>34</v>
      </c>
      <c r="C125" s="6" t="s">
        <v>69</v>
      </c>
      <c r="D125" s="0" t="str">
        <f aca="false">INDEX(Clientes!$B$4:$B$15,MATCH(B125,Clientes!$A$4:$A$15,0))</f>
        <v>Boutique Luna Nueva</v>
      </c>
      <c r="E125" s="0" t="str">
        <f aca="false">INDEX(Catalogo_Servicios!$C$4:$C$24,MATCH(C125,Catalogo_Servicios!$A$4:$A$24,0))</f>
        <v>Declaración anual de renta (D-101 / D-105)</v>
      </c>
      <c r="F125" s="15" t="n">
        <v>1.5</v>
      </c>
      <c r="G125" s="16" t="n">
        <f aca="false">Parametros!$B$4</f>
        <v>28681</v>
      </c>
      <c r="H125" s="15" t="n">
        <f aca="false">INDEX(Clientes!$E$4:$E$15,MATCH(B125,Clientes!$A$4:$A$15,0))</f>
        <v>1.15</v>
      </c>
      <c r="I125" s="16" t="n">
        <f aca="false">ROUND(F125*G125*H125,0)</f>
        <v>49475</v>
      </c>
    </row>
    <row r="126" customFormat="false" ht="15" hidden="false" customHeight="false" outlineLevel="0" collapsed="false">
      <c r="A126" s="14" t="n">
        <v>45352</v>
      </c>
      <c r="B126" s="6" t="s">
        <v>35</v>
      </c>
      <c r="C126" s="6" t="s">
        <v>65</v>
      </c>
      <c r="D126" s="0" t="str">
        <f aca="false">INDEX(Clientes!$B$4:$B$15,MATCH(B126,Clientes!$A$4:$A$15,0))</f>
        <v>Taller Mecánico Hermanos Mora</v>
      </c>
      <c r="E126" s="0" t="str">
        <f aca="false">INDEX(Catalogo_Servicios!$C$4:$C$24,MATCH(C126,Catalogo_Servicios!$A$4:$A$24,0))</f>
        <v>Declaración mensual de IVA (D-104)</v>
      </c>
      <c r="F126" s="15" t="n">
        <v>0.75</v>
      </c>
      <c r="G126" s="16" t="n">
        <f aca="false">Parametros!$B$4</f>
        <v>28681</v>
      </c>
      <c r="H126" s="15" t="n">
        <f aca="false">INDEX(Clientes!$E$4:$E$15,MATCH(B126,Clientes!$A$4:$A$15,0))</f>
        <v>1</v>
      </c>
      <c r="I126" s="16" t="n">
        <f aca="false">ROUND(F126*G126*H126,0)</f>
        <v>21511</v>
      </c>
    </row>
    <row r="127" customFormat="false" ht="15" hidden="false" customHeight="false" outlineLevel="0" collapsed="false">
      <c r="A127" s="14" t="n">
        <v>45352</v>
      </c>
      <c r="B127" s="6" t="s">
        <v>35</v>
      </c>
      <c r="C127" s="6" t="s">
        <v>69</v>
      </c>
      <c r="D127" s="0" t="str">
        <f aca="false">INDEX(Clientes!$B$4:$B$15,MATCH(B127,Clientes!$A$4:$A$15,0))</f>
        <v>Taller Mecánico Hermanos Mora</v>
      </c>
      <c r="E127" s="0" t="str">
        <f aca="false">INDEX(Catalogo_Servicios!$C$4:$C$24,MATCH(C127,Catalogo_Servicios!$A$4:$A$24,0))</f>
        <v>Declaración anual de renta (D-101 / D-105)</v>
      </c>
      <c r="F127" s="15" t="n">
        <v>1.5</v>
      </c>
      <c r="G127" s="16" t="n">
        <f aca="false">Parametros!$B$4</f>
        <v>28681</v>
      </c>
      <c r="H127" s="15" t="n">
        <f aca="false">INDEX(Clientes!$E$4:$E$15,MATCH(B127,Clientes!$A$4:$A$15,0))</f>
        <v>1</v>
      </c>
      <c r="I127" s="16" t="n">
        <f aca="false">ROUND(F127*G127*H127,0)</f>
        <v>43022</v>
      </c>
    </row>
    <row r="128" customFormat="false" ht="15" hidden="false" customHeight="false" outlineLevel="0" collapsed="false">
      <c r="A128" s="14" t="n">
        <v>45352</v>
      </c>
      <c r="B128" s="6" t="s">
        <v>36</v>
      </c>
      <c r="C128" s="6" t="s">
        <v>65</v>
      </c>
      <c r="D128" s="0" t="str">
        <f aca="false">INDEX(Clientes!$B$4:$B$15,MATCH(B128,Clientes!$A$4:$A$15,0))</f>
        <v>Agroservicios Cartago</v>
      </c>
      <c r="E128" s="0" t="str">
        <f aca="false">INDEX(Catalogo_Servicios!$C$4:$C$24,MATCH(C128,Catalogo_Servicios!$A$4:$A$24,0))</f>
        <v>Declaración mensual de IVA (D-104)</v>
      </c>
      <c r="F128" s="15" t="n">
        <v>0.75</v>
      </c>
      <c r="G128" s="16" t="n">
        <f aca="false">Parametros!$B$4</f>
        <v>28681</v>
      </c>
      <c r="H128" s="15" t="n">
        <f aca="false">INDEX(Clientes!$E$4:$E$15,MATCH(B128,Clientes!$A$4:$A$15,0))</f>
        <v>1</v>
      </c>
      <c r="I128" s="16" t="n">
        <f aca="false">ROUND(F128*G128*H128,0)</f>
        <v>21511</v>
      </c>
    </row>
    <row r="129" customFormat="false" ht="15" hidden="false" customHeight="false" outlineLevel="0" collapsed="false">
      <c r="A129" s="14" t="n">
        <v>45352</v>
      </c>
      <c r="B129" s="6" t="s">
        <v>36</v>
      </c>
      <c r="C129" s="6" t="s">
        <v>66</v>
      </c>
      <c r="D129" s="0" t="str">
        <f aca="false">INDEX(Clientes!$B$4:$B$15,MATCH(B129,Clientes!$A$4:$A$15,0))</f>
        <v>Agroservicios Cartago</v>
      </c>
      <c r="E129" s="0" t="str">
        <f aca="false">INDEX(Catalogo_Servicios!$C$4:$C$24,MATCH(C129,Catalogo_Servicios!$A$4:$A$24,0))</f>
        <v>Declaración mensual de retenciones (D-103)</v>
      </c>
      <c r="F129" s="15" t="n">
        <v>0.25</v>
      </c>
      <c r="G129" s="16" t="n">
        <f aca="false">Parametros!$B$4</f>
        <v>28681</v>
      </c>
      <c r="H129" s="15" t="n">
        <f aca="false">INDEX(Clientes!$E$4:$E$15,MATCH(B129,Clientes!$A$4:$A$15,0))</f>
        <v>1</v>
      </c>
      <c r="I129" s="16" t="n">
        <f aca="false">ROUND(F129*G129*H129,0)</f>
        <v>7170</v>
      </c>
    </row>
    <row r="130" customFormat="false" ht="15" hidden="false" customHeight="false" outlineLevel="0" collapsed="false">
      <c r="A130" s="14" t="n">
        <v>45352</v>
      </c>
      <c r="B130" s="6" t="s">
        <v>36</v>
      </c>
      <c r="C130" s="6" t="s">
        <v>69</v>
      </c>
      <c r="D130" s="0" t="str">
        <f aca="false">INDEX(Clientes!$B$4:$B$15,MATCH(B130,Clientes!$A$4:$A$15,0))</f>
        <v>Agroservicios Cartago</v>
      </c>
      <c r="E130" s="0" t="str">
        <f aca="false">INDEX(Catalogo_Servicios!$C$4:$C$24,MATCH(C130,Catalogo_Servicios!$A$4:$A$24,0))</f>
        <v>Declaración anual de renta (D-101 / D-105)</v>
      </c>
      <c r="F130" s="15" t="n">
        <v>1.75</v>
      </c>
      <c r="G130" s="16" t="n">
        <f aca="false">Parametros!$B$4</f>
        <v>28681</v>
      </c>
      <c r="H130" s="15" t="n">
        <f aca="false">INDEX(Clientes!$E$4:$E$15,MATCH(B130,Clientes!$A$4:$A$15,0))</f>
        <v>1</v>
      </c>
      <c r="I130" s="16" t="n">
        <f aca="false">ROUND(F130*G130*H130,0)</f>
        <v>50192</v>
      </c>
    </row>
    <row r="131" customFormat="false" ht="15" hidden="false" customHeight="false" outlineLevel="0" collapsed="false">
      <c r="A131" s="14" t="n">
        <v>45352</v>
      </c>
      <c r="B131" s="6" t="s">
        <v>37</v>
      </c>
      <c r="C131" s="6" t="s">
        <v>68</v>
      </c>
      <c r="D131" s="0" t="str">
        <f aca="false">INDEX(Clientes!$B$4:$B$15,MATCH(B131,Clientes!$A$4:$A$15,0))</f>
        <v>Estudio Fotográfico Lumière</v>
      </c>
      <c r="E131" s="0" t="str">
        <f aca="false">INDEX(Catalogo_Servicios!$C$4:$C$24,MATCH(C131,Catalogo_Servicios!$A$4:$A$24,0))</f>
        <v>Asesoría contable, financiera y tributaria</v>
      </c>
      <c r="F131" s="15" t="n">
        <v>2</v>
      </c>
      <c r="G131" s="16" t="n">
        <f aca="false">Parametros!$B$4</f>
        <v>28681</v>
      </c>
      <c r="H131" s="15" t="n">
        <f aca="false">INDEX(Clientes!$E$4:$E$15,MATCH(B131,Clientes!$A$4:$A$15,0))</f>
        <v>1.1</v>
      </c>
      <c r="I131" s="16" t="n">
        <f aca="false">ROUND(F131*G131*H131,0)</f>
        <v>63098</v>
      </c>
    </row>
    <row r="132" customFormat="false" ht="15" hidden="false" customHeight="false" outlineLevel="0" collapsed="false">
      <c r="A132" s="14" t="n">
        <v>45352</v>
      </c>
      <c r="B132" s="6" t="s">
        <v>37</v>
      </c>
      <c r="C132" s="6" t="s">
        <v>69</v>
      </c>
      <c r="D132" s="0" t="str">
        <f aca="false">INDEX(Clientes!$B$4:$B$15,MATCH(B132,Clientes!$A$4:$A$15,0))</f>
        <v>Estudio Fotográfico Lumière</v>
      </c>
      <c r="E132" s="0" t="str">
        <f aca="false">INDEX(Catalogo_Servicios!$C$4:$C$24,MATCH(C132,Catalogo_Servicios!$A$4:$A$24,0))</f>
        <v>Declaración anual de renta (D-101 / D-105)</v>
      </c>
      <c r="F132" s="15" t="n">
        <v>1.5</v>
      </c>
      <c r="G132" s="16" t="n">
        <f aca="false">Parametros!$B$4</f>
        <v>28681</v>
      </c>
      <c r="H132" s="15" t="n">
        <f aca="false">INDEX(Clientes!$E$4:$E$15,MATCH(B132,Clientes!$A$4:$A$15,0))</f>
        <v>1.1</v>
      </c>
      <c r="I132" s="16" t="n">
        <f aca="false">ROUND(F132*G132*H132,0)</f>
        <v>47324</v>
      </c>
    </row>
    <row r="133" customFormat="false" ht="15" hidden="false" customHeight="false" outlineLevel="0" collapsed="false">
      <c r="A133" s="14" t="n">
        <v>45352</v>
      </c>
      <c r="B133" s="6" t="s">
        <v>38</v>
      </c>
      <c r="C133" s="6" t="s">
        <v>65</v>
      </c>
      <c r="D133" s="0" t="str">
        <f aca="false">INDEX(Clientes!$B$4:$B$15,MATCH(B133,Clientes!$A$4:$A$15,0))</f>
        <v>Panadería La Espiga</v>
      </c>
      <c r="E133" s="0" t="str">
        <f aca="false">INDEX(Catalogo_Servicios!$C$4:$C$24,MATCH(C133,Catalogo_Servicios!$A$4:$A$24,0))</f>
        <v>Declaración mensual de IVA (D-104)</v>
      </c>
      <c r="F133" s="15" t="n">
        <v>0.75</v>
      </c>
      <c r="G133" s="16" t="n">
        <f aca="false">Parametros!$B$4</f>
        <v>28681</v>
      </c>
      <c r="H133" s="15" t="n">
        <f aca="false">INDEX(Clientes!$E$4:$E$15,MATCH(B133,Clientes!$A$4:$A$15,0))</f>
        <v>1</v>
      </c>
      <c r="I133" s="16" t="n">
        <f aca="false">ROUND(F133*G133*H133,0)</f>
        <v>21511</v>
      </c>
    </row>
    <row r="134" customFormat="false" ht="15" hidden="false" customHeight="false" outlineLevel="0" collapsed="false">
      <c r="A134" s="14" t="n">
        <v>45352</v>
      </c>
      <c r="B134" s="6" t="s">
        <v>38</v>
      </c>
      <c r="C134" s="6" t="s">
        <v>67</v>
      </c>
      <c r="D134" s="0" t="str">
        <f aca="false">INDEX(Clientes!$B$4:$B$15,MATCH(B134,Clientes!$A$4:$A$15,0))</f>
        <v>Panadería La Espiga</v>
      </c>
      <c r="E134" s="0" t="str">
        <f aca="false">INDEX(Catalogo_Servicios!$C$4:$C$24,MATCH(C134,Catalogo_Servicios!$A$4:$A$24,0))</f>
        <v>Cálculo de planillas y cargas sociales (CCSS/INS)</v>
      </c>
      <c r="F134" s="15" t="n">
        <v>6.5</v>
      </c>
      <c r="G134" s="16" t="n">
        <f aca="false">Parametros!$B$4</f>
        <v>28681</v>
      </c>
      <c r="H134" s="15" t="n">
        <f aca="false">INDEX(Clientes!$E$4:$E$15,MATCH(B134,Clientes!$A$4:$A$15,0))</f>
        <v>1</v>
      </c>
      <c r="I134" s="16" t="n">
        <f aca="false">ROUND(F134*G134*H134,0)</f>
        <v>186427</v>
      </c>
    </row>
    <row r="135" customFormat="false" ht="15" hidden="false" customHeight="false" outlineLevel="0" collapsed="false">
      <c r="A135" s="14" t="n">
        <v>45352</v>
      </c>
      <c r="B135" s="6" t="s">
        <v>39</v>
      </c>
      <c r="C135" s="6" t="s">
        <v>69</v>
      </c>
      <c r="D135" s="0" t="str">
        <f aca="false">INDEX(Clientes!$B$4:$B$15,MATCH(B135,Clientes!$A$4:$A$15,0))</f>
        <v>Consultores TIC Pura Vida</v>
      </c>
      <c r="E135" s="0" t="str">
        <f aca="false">INDEX(Catalogo_Servicios!$C$4:$C$24,MATCH(C135,Catalogo_Servicios!$A$4:$A$24,0))</f>
        <v>Declaración anual de renta (D-101 / D-105)</v>
      </c>
      <c r="F135" s="15" t="n">
        <v>1.5</v>
      </c>
      <c r="G135" s="16" t="n">
        <f aca="false">Parametros!$B$4</f>
        <v>28681</v>
      </c>
      <c r="H135" s="15" t="n">
        <f aca="false">INDEX(Clientes!$E$4:$E$15,MATCH(B135,Clientes!$A$4:$A$15,0))</f>
        <v>1</v>
      </c>
      <c r="I135" s="16" t="n">
        <f aca="false">ROUND(F135*G135*H135,0)</f>
        <v>43022</v>
      </c>
    </row>
    <row r="136" customFormat="false" ht="15" hidden="false" customHeight="false" outlineLevel="0" collapsed="false">
      <c r="A136" s="14" t="n">
        <v>45383</v>
      </c>
      <c r="B136" s="6" t="s">
        <v>29</v>
      </c>
      <c r="C136" s="6" t="s">
        <v>64</v>
      </c>
      <c r="D136" s="0" t="str">
        <f aca="false">INDEX(Clientes!$B$4:$B$15,MATCH(B136,Clientes!$A$4:$A$15,0))</f>
        <v>Distribuidora Los Andes S.A.</v>
      </c>
      <c r="E136" s="0" t="str">
        <f aca="false">INDEX(Catalogo_Servicios!$C$4:$C$24,MATCH(C136,Catalogo_Servicios!$A$4:$A$24,0))</f>
        <v>Estados financieros mensuales</v>
      </c>
      <c r="F136" s="15" t="n">
        <v>3</v>
      </c>
      <c r="G136" s="16" t="n">
        <f aca="false">Parametros!$B$4</f>
        <v>28681</v>
      </c>
      <c r="H136" s="15" t="n">
        <f aca="false">INDEX(Clientes!$E$4:$E$15,MATCH(B136,Clientes!$A$4:$A$15,0))</f>
        <v>1</v>
      </c>
      <c r="I136" s="16" t="n">
        <f aca="false">ROUND(F136*G136*H136,0)</f>
        <v>86043</v>
      </c>
    </row>
    <row r="137" customFormat="false" ht="15" hidden="false" customHeight="false" outlineLevel="0" collapsed="false">
      <c r="A137" s="14" t="n">
        <v>45383</v>
      </c>
      <c r="B137" s="6" t="s">
        <v>29</v>
      </c>
      <c r="C137" s="6" t="s">
        <v>65</v>
      </c>
      <c r="D137" s="0" t="str">
        <f aca="false">INDEX(Clientes!$B$4:$B$15,MATCH(B137,Clientes!$A$4:$A$15,0))</f>
        <v>Distribuidora Los Andes S.A.</v>
      </c>
      <c r="E137" s="0" t="str">
        <f aca="false">INDEX(Catalogo_Servicios!$C$4:$C$24,MATCH(C137,Catalogo_Servicios!$A$4:$A$24,0))</f>
        <v>Declaración mensual de IVA (D-104)</v>
      </c>
      <c r="F137" s="15" t="n">
        <v>0.75</v>
      </c>
      <c r="G137" s="16" t="n">
        <f aca="false">Parametros!$B$4</f>
        <v>28681</v>
      </c>
      <c r="H137" s="15" t="n">
        <f aca="false">INDEX(Clientes!$E$4:$E$15,MATCH(B137,Clientes!$A$4:$A$15,0))</f>
        <v>1</v>
      </c>
      <c r="I137" s="16" t="n">
        <f aca="false">ROUND(F137*G137*H137,0)</f>
        <v>21511</v>
      </c>
    </row>
    <row r="138" customFormat="false" ht="15" hidden="false" customHeight="false" outlineLevel="0" collapsed="false">
      <c r="A138" s="14" t="n">
        <v>45383</v>
      </c>
      <c r="B138" s="6" t="s">
        <v>29</v>
      </c>
      <c r="C138" s="6" t="s">
        <v>66</v>
      </c>
      <c r="D138" s="0" t="str">
        <f aca="false">INDEX(Clientes!$B$4:$B$15,MATCH(B138,Clientes!$A$4:$A$15,0))</f>
        <v>Distribuidora Los Andes S.A.</v>
      </c>
      <c r="E138" s="0" t="str">
        <f aca="false">INDEX(Catalogo_Servicios!$C$4:$C$24,MATCH(C138,Catalogo_Servicios!$A$4:$A$24,0))</f>
        <v>Declaración mensual de retenciones (D-103)</v>
      </c>
      <c r="F138" s="15" t="n">
        <v>0.25</v>
      </c>
      <c r="G138" s="16" t="n">
        <f aca="false">Parametros!$B$4</f>
        <v>28681</v>
      </c>
      <c r="H138" s="15" t="n">
        <f aca="false">INDEX(Clientes!$E$4:$E$15,MATCH(B138,Clientes!$A$4:$A$15,0))</f>
        <v>1</v>
      </c>
      <c r="I138" s="16" t="n">
        <f aca="false">ROUND(F138*G138*H138,0)</f>
        <v>7170</v>
      </c>
    </row>
    <row r="139" customFormat="false" ht="15" hidden="false" customHeight="false" outlineLevel="0" collapsed="false">
      <c r="A139" s="14" t="n">
        <v>45383</v>
      </c>
      <c r="B139" s="6" t="s">
        <v>29</v>
      </c>
      <c r="C139" s="6" t="s">
        <v>67</v>
      </c>
      <c r="D139" s="0" t="str">
        <f aca="false">INDEX(Clientes!$B$4:$B$15,MATCH(B139,Clientes!$A$4:$A$15,0))</f>
        <v>Distribuidora Los Andes S.A.</v>
      </c>
      <c r="E139" s="0" t="str">
        <f aca="false">INDEX(Catalogo_Servicios!$C$4:$C$24,MATCH(C139,Catalogo_Servicios!$A$4:$A$24,0))</f>
        <v>Cálculo de planillas y cargas sociales (CCSS/INS)</v>
      </c>
      <c r="F139" s="15" t="n">
        <v>19.5</v>
      </c>
      <c r="G139" s="16" t="n">
        <f aca="false">Parametros!$B$4</f>
        <v>28681</v>
      </c>
      <c r="H139" s="15" t="n">
        <f aca="false">INDEX(Clientes!$E$4:$E$15,MATCH(B139,Clientes!$A$4:$A$15,0))</f>
        <v>1</v>
      </c>
      <c r="I139" s="16" t="n">
        <f aca="false">ROUND(F139*G139*H139,0)</f>
        <v>559280</v>
      </c>
    </row>
    <row r="140" customFormat="false" ht="15" hidden="false" customHeight="false" outlineLevel="0" collapsed="false">
      <c r="A140" s="14" t="n">
        <v>45383</v>
      </c>
      <c r="B140" s="6" t="s">
        <v>30</v>
      </c>
      <c r="C140" s="6" t="s">
        <v>64</v>
      </c>
      <c r="D140" s="0" t="str">
        <f aca="false">INDEX(Clientes!$B$4:$B$15,MATCH(B140,Clientes!$A$4:$A$15,0))</f>
        <v>Ferretería El Tornillo</v>
      </c>
      <c r="E140" s="0" t="str">
        <f aca="false">INDEX(Catalogo_Servicios!$C$4:$C$24,MATCH(C140,Catalogo_Servicios!$A$4:$A$24,0))</f>
        <v>Estados financieros mensuales</v>
      </c>
      <c r="F140" s="15" t="n">
        <v>3</v>
      </c>
      <c r="G140" s="16" t="n">
        <f aca="false">Parametros!$B$4</f>
        <v>28681</v>
      </c>
      <c r="H140" s="15" t="n">
        <f aca="false">INDEX(Clientes!$E$4:$E$15,MATCH(B140,Clientes!$A$4:$A$15,0))</f>
        <v>1</v>
      </c>
      <c r="I140" s="16" t="n">
        <f aca="false">ROUND(F140*G140*H140,0)</f>
        <v>86043</v>
      </c>
    </row>
    <row r="141" customFormat="false" ht="15" hidden="false" customHeight="false" outlineLevel="0" collapsed="false">
      <c r="A141" s="14" t="n">
        <v>45383</v>
      </c>
      <c r="B141" s="6" t="s">
        <v>30</v>
      </c>
      <c r="C141" s="6" t="s">
        <v>65</v>
      </c>
      <c r="D141" s="0" t="str">
        <f aca="false">INDEX(Clientes!$B$4:$B$15,MATCH(B141,Clientes!$A$4:$A$15,0))</f>
        <v>Ferretería El Tornillo</v>
      </c>
      <c r="E141" s="0" t="str">
        <f aca="false">INDEX(Catalogo_Servicios!$C$4:$C$24,MATCH(C141,Catalogo_Servicios!$A$4:$A$24,0))</f>
        <v>Declaración mensual de IVA (D-104)</v>
      </c>
      <c r="F141" s="15" t="n">
        <v>0.75</v>
      </c>
      <c r="G141" s="16" t="n">
        <f aca="false">Parametros!$B$4</f>
        <v>28681</v>
      </c>
      <c r="H141" s="15" t="n">
        <f aca="false">INDEX(Clientes!$E$4:$E$15,MATCH(B141,Clientes!$A$4:$A$15,0))</f>
        <v>1</v>
      </c>
      <c r="I141" s="16" t="n">
        <f aca="false">ROUND(F141*G141*H141,0)</f>
        <v>21511</v>
      </c>
    </row>
    <row r="142" customFormat="false" ht="15" hidden="false" customHeight="false" outlineLevel="0" collapsed="false">
      <c r="A142" s="14" t="n">
        <v>45383</v>
      </c>
      <c r="B142" s="6" t="s">
        <v>30</v>
      </c>
      <c r="C142" s="6" t="s">
        <v>66</v>
      </c>
      <c r="D142" s="0" t="str">
        <f aca="false">INDEX(Clientes!$B$4:$B$15,MATCH(B142,Clientes!$A$4:$A$15,0))</f>
        <v>Ferretería El Tornillo</v>
      </c>
      <c r="E142" s="0" t="str">
        <f aca="false">INDEX(Catalogo_Servicios!$C$4:$C$24,MATCH(C142,Catalogo_Servicios!$A$4:$A$24,0))</f>
        <v>Declaración mensual de retenciones (D-103)</v>
      </c>
      <c r="F142" s="15" t="n">
        <v>0.25</v>
      </c>
      <c r="G142" s="16" t="n">
        <f aca="false">Parametros!$B$4</f>
        <v>28681</v>
      </c>
      <c r="H142" s="15" t="n">
        <f aca="false">INDEX(Clientes!$E$4:$E$15,MATCH(B142,Clientes!$A$4:$A$15,0))</f>
        <v>1</v>
      </c>
      <c r="I142" s="16" t="n">
        <f aca="false">ROUND(F142*G142*H142,0)</f>
        <v>7170</v>
      </c>
    </row>
    <row r="143" customFormat="false" ht="15" hidden="false" customHeight="false" outlineLevel="0" collapsed="false">
      <c r="A143" s="14" t="n">
        <v>45383</v>
      </c>
      <c r="B143" s="6" t="s">
        <v>31</v>
      </c>
      <c r="C143" s="6" t="s">
        <v>65</v>
      </c>
      <c r="D143" s="0" t="str">
        <f aca="false">INDEX(Clientes!$B$4:$B$15,MATCH(B143,Clientes!$A$4:$A$15,0))</f>
        <v>Clínica Dental Sonrisa</v>
      </c>
      <c r="E143" s="0" t="str">
        <f aca="false">INDEX(Catalogo_Servicios!$C$4:$C$24,MATCH(C143,Catalogo_Servicios!$A$4:$A$24,0))</f>
        <v>Declaración mensual de IVA (D-104)</v>
      </c>
      <c r="F143" s="15" t="n">
        <v>0.75</v>
      </c>
      <c r="G143" s="16" t="n">
        <f aca="false">Parametros!$B$4</f>
        <v>28681</v>
      </c>
      <c r="H143" s="15" t="n">
        <f aca="false">INDEX(Clientes!$E$4:$E$15,MATCH(B143,Clientes!$A$4:$A$15,0))</f>
        <v>1.1</v>
      </c>
      <c r="I143" s="16" t="n">
        <f aca="false">ROUND(F143*G143*H143,0)</f>
        <v>23662</v>
      </c>
    </row>
    <row r="144" customFormat="false" ht="15" hidden="false" customHeight="false" outlineLevel="0" collapsed="false">
      <c r="A144" s="14" t="n">
        <v>45383</v>
      </c>
      <c r="B144" s="6" t="s">
        <v>32</v>
      </c>
      <c r="C144" s="6" t="s">
        <v>65</v>
      </c>
      <c r="D144" s="0" t="str">
        <f aca="false">INDEX(Clientes!$B$4:$B$15,MATCH(B144,Clientes!$A$4:$A$15,0))</f>
        <v>Soda y Restaurante Doña Lela</v>
      </c>
      <c r="E144" s="0" t="str">
        <f aca="false">INDEX(Catalogo_Servicios!$C$4:$C$24,MATCH(C144,Catalogo_Servicios!$A$4:$A$24,0))</f>
        <v>Declaración mensual de IVA (D-104)</v>
      </c>
      <c r="F144" s="15" t="n">
        <v>0.75</v>
      </c>
      <c r="G144" s="16" t="n">
        <f aca="false">Parametros!$B$4</f>
        <v>28681</v>
      </c>
      <c r="H144" s="15" t="n">
        <f aca="false">INDEX(Clientes!$E$4:$E$15,MATCH(B144,Clientes!$A$4:$A$15,0))</f>
        <v>1</v>
      </c>
      <c r="I144" s="16" t="n">
        <f aca="false">ROUND(F144*G144*H144,0)</f>
        <v>21511</v>
      </c>
    </row>
    <row r="145" customFormat="false" ht="15" hidden="false" customHeight="false" outlineLevel="0" collapsed="false">
      <c r="A145" s="14" t="n">
        <v>45383</v>
      </c>
      <c r="B145" s="6" t="s">
        <v>33</v>
      </c>
      <c r="C145" s="6" t="s">
        <v>65</v>
      </c>
      <c r="D145" s="0" t="str">
        <f aca="false">INDEX(Clientes!$B$4:$B$15,MATCH(B145,Clientes!$A$4:$A$15,0))</f>
        <v>Transportes Rápidos del Valle</v>
      </c>
      <c r="E145" s="0" t="str">
        <f aca="false">INDEX(Catalogo_Servicios!$C$4:$C$24,MATCH(C145,Catalogo_Servicios!$A$4:$A$24,0))</f>
        <v>Declaración mensual de IVA (D-104)</v>
      </c>
      <c r="F145" s="15" t="n">
        <v>0.75</v>
      </c>
      <c r="G145" s="16" t="n">
        <f aca="false">Parametros!$B$4</f>
        <v>28681</v>
      </c>
      <c r="H145" s="15" t="n">
        <f aca="false">INDEX(Clientes!$E$4:$E$15,MATCH(B145,Clientes!$A$4:$A$15,0))</f>
        <v>1</v>
      </c>
      <c r="I145" s="16" t="n">
        <f aca="false">ROUND(F145*G145*H145,0)</f>
        <v>21511</v>
      </c>
    </row>
    <row r="146" customFormat="false" ht="15" hidden="false" customHeight="false" outlineLevel="0" collapsed="false">
      <c r="A146" s="14" t="n">
        <v>45383</v>
      </c>
      <c r="B146" s="6" t="s">
        <v>33</v>
      </c>
      <c r="C146" s="6" t="s">
        <v>66</v>
      </c>
      <c r="D146" s="0" t="str">
        <f aca="false">INDEX(Clientes!$B$4:$B$15,MATCH(B146,Clientes!$A$4:$A$15,0))</f>
        <v>Transportes Rápidos del Valle</v>
      </c>
      <c r="E146" s="0" t="str">
        <f aca="false">INDEX(Catalogo_Servicios!$C$4:$C$24,MATCH(C146,Catalogo_Servicios!$A$4:$A$24,0))</f>
        <v>Declaración mensual de retenciones (D-103)</v>
      </c>
      <c r="F146" s="15" t="n">
        <v>0.25</v>
      </c>
      <c r="G146" s="16" t="n">
        <f aca="false">Parametros!$B$4</f>
        <v>28681</v>
      </c>
      <c r="H146" s="15" t="n">
        <f aca="false">INDEX(Clientes!$E$4:$E$15,MATCH(B146,Clientes!$A$4:$A$15,0))</f>
        <v>1</v>
      </c>
      <c r="I146" s="16" t="n">
        <f aca="false">ROUND(F146*G146*H146,0)</f>
        <v>7170</v>
      </c>
    </row>
    <row r="147" customFormat="false" ht="15" hidden="false" customHeight="false" outlineLevel="0" collapsed="false">
      <c r="A147" s="14" t="n">
        <v>45383</v>
      </c>
      <c r="B147" s="6" t="s">
        <v>33</v>
      </c>
      <c r="C147" s="6" t="s">
        <v>67</v>
      </c>
      <c r="D147" s="0" t="str">
        <f aca="false">INDEX(Clientes!$B$4:$B$15,MATCH(B147,Clientes!$A$4:$A$15,0))</f>
        <v>Transportes Rápidos del Valle</v>
      </c>
      <c r="E147" s="0" t="str">
        <f aca="false">INDEX(Catalogo_Servicios!$C$4:$C$24,MATCH(C147,Catalogo_Servicios!$A$4:$A$24,0))</f>
        <v>Cálculo de planillas y cargas sociales (CCSS/INS)</v>
      </c>
      <c r="F147" s="15" t="n">
        <v>5.5</v>
      </c>
      <c r="G147" s="16" t="n">
        <f aca="false">Parametros!$B$4</f>
        <v>28681</v>
      </c>
      <c r="H147" s="15" t="n">
        <f aca="false">INDEX(Clientes!$E$4:$E$15,MATCH(B147,Clientes!$A$4:$A$15,0))</f>
        <v>1</v>
      </c>
      <c r="I147" s="16" t="n">
        <f aca="false">ROUND(F147*G147*H147,0)</f>
        <v>157746</v>
      </c>
    </row>
    <row r="148" customFormat="false" ht="15" hidden="false" customHeight="false" outlineLevel="0" collapsed="false">
      <c r="A148" s="14" t="n">
        <v>45383</v>
      </c>
      <c r="B148" s="6" t="s">
        <v>35</v>
      </c>
      <c r="C148" s="6" t="s">
        <v>65</v>
      </c>
      <c r="D148" s="0" t="str">
        <f aca="false">INDEX(Clientes!$B$4:$B$15,MATCH(B148,Clientes!$A$4:$A$15,0))</f>
        <v>Taller Mecánico Hermanos Mora</v>
      </c>
      <c r="E148" s="0" t="str">
        <f aca="false">INDEX(Catalogo_Servicios!$C$4:$C$24,MATCH(C148,Catalogo_Servicios!$A$4:$A$24,0))</f>
        <v>Declaración mensual de IVA (D-104)</v>
      </c>
      <c r="F148" s="15" t="n">
        <v>0.75</v>
      </c>
      <c r="G148" s="16" t="n">
        <f aca="false">Parametros!$B$4</f>
        <v>28681</v>
      </c>
      <c r="H148" s="15" t="n">
        <f aca="false">INDEX(Clientes!$E$4:$E$15,MATCH(B148,Clientes!$A$4:$A$15,0))</f>
        <v>1</v>
      </c>
      <c r="I148" s="16" t="n">
        <f aca="false">ROUND(F148*G148*H148,0)</f>
        <v>21511</v>
      </c>
    </row>
    <row r="149" customFormat="false" ht="15" hidden="false" customHeight="false" outlineLevel="0" collapsed="false">
      <c r="A149" s="14" t="n">
        <v>45383</v>
      </c>
      <c r="B149" s="6" t="s">
        <v>36</v>
      </c>
      <c r="C149" s="6" t="s">
        <v>65</v>
      </c>
      <c r="D149" s="0" t="str">
        <f aca="false">INDEX(Clientes!$B$4:$B$15,MATCH(B149,Clientes!$A$4:$A$15,0))</f>
        <v>Agroservicios Cartago</v>
      </c>
      <c r="E149" s="0" t="str">
        <f aca="false">INDEX(Catalogo_Servicios!$C$4:$C$24,MATCH(C149,Catalogo_Servicios!$A$4:$A$24,0))</f>
        <v>Declaración mensual de IVA (D-104)</v>
      </c>
      <c r="F149" s="15" t="n">
        <v>0.75</v>
      </c>
      <c r="G149" s="16" t="n">
        <f aca="false">Parametros!$B$4</f>
        <v>28681</v>
      </c>
      <c r="H149" s="15" t="n">
        <f aca="false">INDEX(Clientes!$E$4:$E$15,MATCH(B149,Clientes!$A$4:$A$15,0))</f>
        <v>1</v>
      </c>
      <c r="I149" s="16" t="n">
        <f aca="false">ROUND(F149*G149*H149,0)</f>
        <v>21511</v>
      </c>
    </row>
    <row r="150" customFormat="false" ht="15" hidden="false" customHeight="false" outlineLevel="0" collapsed="false">
      <c r="A150" s="14" t="n">
        <v>45383</v>
      </c>
      <c r="B150" s="6" t="s">
        <v>36</v>
      </c>
      <c r="C150" s="6" t="s">
        <v>66</v>
      </c>
      <c r="D150" s="0" t="str">
        <f aca="false">INDEX(Clientes!$B$4:$B$15,MATCH(B150,Clientes!$A$4:$A$15,0))</f>
        <v>Agroservicios Cartago</v>
      </c>
      <c r="E150" s="0" t="str">
        <f aca="false">INDEX(Catalogo_Servicios!$C$4:$C$24,MATCH(C150,Catalogo_Servicios!$A$4:$A$24,0))</f>
        <v>Declaración mensual de retenciones (D-103)</v>
      </c>
      <c r="F150" s="15" t="n">
        <v>0.25</v>
      </c>
      <c r="G150" s="16" t="n">
        <f aca="false">Parametros!$B$4</f>
        <v>28681</v>
      </c>
      <c r="H150" s="15" t="n">
        <f aca="false">INDEX(Clientes!$E$4:$E$15,MATCH(B150,Clientes!$A$4:$A$15,0))</f>
        <v>1</v>
      </c>
      <c r="I150" s="16" t="n">
        <f aca="false">ROUND(F150*G150*H150,0)</f>
        <v>7170</v>
      </c>
    </row>
    <row r="151" customFormat="false" ht="15" hidden="false" customHeight="false" outlineLevel="0" collapsed="false">
      <c r="A151" s="14" t="n">
        <v>45383</v>
      </c>
      <c r="B151" s="6" t="s">
        <v>38</v>
      </c>
      <c r="C151" s="6" t="s">
        <v>68</v>
      </c>
      <c r="D151" s="0" t="str">
        <f aca="false">INDEX(Clientes!$B$4:$B$15,MATCH(B151,Clientes!$A$4:$A$15,0))</f>
        <v>Panadería La Espiga</v>
      </c>
      <c r="E151" s="0" t="str">
        <f aca="false">INDEX(Catalogo_Servicios!$C$4:$C$24,MATCH(C151,Catalogo_Servicios!$A$4:$A$24,0))</f>
        <v>Asesoría contable, financiera y tributaria</v>
      </c>
      <c r="F151" s="15" t="n">
        <v>1.5</v>
      </c>
      <c r="G151" s="16" t="n">
        <f aca="false">Parametros!$B$4</f>
        <v>28681</v>
      </c>
      <c r="H151" s="15" t="n">
        <f aca="false">INDEX(Clientes!$E$4:$E$15,MATCH(B151,Clientes!$A$4:$A$15,0))</f>
        <v>1</v>
      </c>
      <c r="I151" s="16" t="n">
        <f aca="false">ROUND(F151*G151*H151,0)</f>
        <v>43022</v>
      </c>
    </row>
    <row r="152" customFormat="false" ht="15" hidden="false" customHeight="false" outlineLevel="0" collapsed="false">
      <c r="A152" s="14" t="n">
        <v>45383</v>
      </c>
      <c r="B152" s="6" t="s">
        <v>38</v>
      </c>
      <c r="C152" s="6" t="s">
        <v>65</v>
      </c>
      <c r="D152" s="0" t="str">
        <f aca="false">INDEX(Clientes!$B$4:$B$15,MATCH(B152,Clientes!$A$4:$A$15,0))</f>
        <v>Panadería La Espiga</v>
      </c>
      <c r="E152" s="0" t="str">
        <f aca="false">INDEX(Catalogo_Servicios!$C$4:$C$24,MATCH(C152,Catalogo_Servicios!$A$4:$A$24,0))</f>
        <v>Declaración mensual de IVA (D-104)</v>
      </c>
      <c r="F152" s="15" t="n">
        <v>0.75</v>
      </c>
      <c r="G152" s="16" t="n">
        <f aca="false">Parametros!$B$4</f>
        <v>28681</v>
      </c>
      <c r="H152" s="15" t="n">
        <f aca="false">INDEX(Clientes!$E$4:$E$15,MATCH(B152,Clientes!$A$4:$A$15,0))</f>
        <v>1</v>
      </c>
      <c r="I152" s="16" t="n">
        <f aca="false">ROUND(F152*G152*H152,0)</f>
        <v>21511</v>
      </c>
    </row>
    <row r="153" customFormat="false" ht="15" hidden="false" customHeight="false" outlineLevel="0" collapsed="false">
      <c r="A153" s="14" t="n">
        <v>45383</v>
      </c>
      <c r="B153" s="6" t="s">
        <v>38</v>
      </c>
      <c r="C153" s="6" t="s">
        <v>67</v>
      </c>
      <c r="D153" s="0" t="str">
        <f aca="false">INDEX(Clientes!$B$4:$B$15,MATCH(B153,Clientes!$A$4:$A$15,0))</f>
        <v>Panadería La Espiga</v>
      </c>
      <c r="E153" s="0" t="str">
        <f aca="false">INDEX(Catalogo_Servicios!$C$4:$C$24,MATCH(C153,Catalogo_Servicios!$A$4:$A$24,0))</f>
        <v>Cálculo de planillas y cargas sociales (CCSS/INS)</v>
      </c>
      <c r="F153" s="15" t="n">
        <v>7</v>
      </c>
      <c r="G153" s="16" t="n">
        <f aca="false">Parametros!$B$4</f>
        <v>28681</v>
      </c>
      <c r="H153" s="15" t="n">
        <f aca="false">INDEX(Clientes!$E$4:$E$15,MATCH(B153,Clientes!$A$4:$A$15,0))</f>
        <v>1</v>
      </c>
      <c r="I153" s="16" t="n">
        <f aca="false">ROUND(F153*G153*H153,0)</f>
        <v>200767</v>
      </c>
    </row>
    <row r="154" customFormat="false" ht="15" hidden="false" customHeight="false" outlineLevel="0" collapsed="false">
      <c r="A154" s="14" t="n">
        <v>45413</v>
      </c>
      <c r="B154" s="6" t="s">
        <v>29</v>
      </c>
      <c r="C154" s="6" t="s">
        <v>64</v>
      </c>
      <c r="D154" s="0" t="str">
        <f aca="false">INDEX(Clientes!$B$4:$B$15,MATCH(B154,Clientes!$A$4:$A$15,0))</f>
        <v>Distribuidora Los Andes S.A.</v>
      </c>
      <c r="E154" s="0" t="str">
        <f aca="false">INDEX(Catalogo_Servicios!$C$4:$C$24,MATCH(C154,Catalogo_Servicios!$A$4:$A$24,0))</f>
        <v>Estados financieros mensuales</v>
      </c>
      <c r="F154" s="15" t="n">
        <v>3</v>
      </c>
      <c r="G154" s="16" t="n">
        <f aca="false">Parametros!$B$4</f>
        <v>28681</v>
      </c>
      <c r="H154" s="15" t="n">
        <f aca="false">INDEX(Clientes!$E$4:$E$15,MATCH(B154,Clientes!$A$4:$A$15,0))</f>
        <v>1</v>
      </c>
      <c r="I154" s="16" t="n">
        <f aca="false">ROUND(F154*G154*H154,0)</f>
        <v>86043</v>
      </c>
    </row>
    <row r="155" customFormat="false" ht="15" hidden="false" customHeight="false" outlineLevel="0" collapsed="false">
      <c r="A155" s="14" t="n">
        <v>45413</v>
      </c>
      <c r="B155" s="6" t="s">
        <v>29</v>
      </c>
      <c r="C155" s="6" t="s">
        <v>65</v>
      </c>
      <c r="D155" s="0" t="str">
        <f aca="false">INDEX(Clientes!$B$4:$B$15,MATCH(B155,Clientes!$A$4:$A$15,0))</f>
        <v>Distribuidora Los Andes S.A.</v>
      </c>
      <c r="E155" s="0" t="str">
        <f aca="false">INDEX(Catalogo_Servicios!$C$4:$C$24,MATCH(C155,Catalogo_Servicios!$A$4:$A$24,0))</f>
        <v>Declaración mensual de IVA (D-104)</v>
      </c>
      <c r="F155" s="15" t="n">
        <v>0.75</v>
      </c>
      <c r="G155" s="16" t="n">
        <f aca="false">Parametros!$B$4</f>
        <v>28681</v>
      </c>
      <c r="H155" s="15" t="n">
        <f aca="false">INDEX(Clientes!$E$4:$E$15,MATCH(B155,Clientes!$A$4:$A$15,0))</f>
        <v>1</v>
      </c>
      <c r="I155" s="16" t="n">
        <f aca="false">ROUND(F155*G155*H155,0)</f>
        <v>21511</v>
      </c>
    </row>
    <row r="156" customFormat="false" ht="15" hidden="false" customHeight="false" outlineLevel="0" collapsed="false">
      <c r="A156" s="14" t="n">
        <v>45413</v>
      </c>
      <c r="B156" s="6" t="s">
        <v>29</v>
      </c>
      <c r="C156" s="6" t="s">
        <v>66</v>
      </c>
      <c r="D156" s="0" t="str">
        <f aca="false">INDEX(Clientes!$B$4:$B$15,MATCH(B156,Clientes!$A$4:$A$15,0))</f>
        <v>Distribuidora Los Andes S.A.</v>
      </c>
      <c r="E156" s="0" t="str">
        <f aca="false">INDEX(Catalogo_Servicios!$C$4:$C$24,MATCH(C156,Catalogo_Servicios!$A$4:$A$24,0))</f>
        <v>Declaración mensual de retenciones (D-103)</v>
      </c>
      <c r="F156" s="15" t="n">
        <v>0.25</v>
      </c>
      <c r="G156" s="16" t="n">
        <f aca="false">Parametros!$B$4</f>
        <v>28681</v>
      </c>
      <c r="H156" s="15" t="n">
        <f aca="false">INDEX(Clientes!$E$4:$E$15,MATCH(B156,Clientes!$A$4:$A$15,0))</f>
        <v>1</v>
      </c>
      <c r="I156" s="16" t="n">
        <f aca="false">ROUND(F156*G156*H156,0)</f>
        <v>7170</v>
      </c>
    </row>
    <row r="157" customFormat="false" ht="15" hidden="false" customHeight="false" outlineLevel="0" collapsed="false">
      <c r="A157" s="14" t="n">
        <v>45413</v>
      </c>
      <c r="B157" s="6" t="s">
        <v>29</v>
      </c>
      <c r="C157" s="6" t="s">
        <v>67</v>
      </c>
      <c r="D157" s="0" t="str">
        <f aca="false">INDEX(Clientes!$B$4:$B$15,MATCH(B157,Clientes!$A$4:$A$15,0))</f>
        <v>Distribuidora Los Andes S.A.</v>
      </c>
      <c r="E157" s="0" t="str">
        <f aca="false">INDEX(Catalogo_Servicios!$C$4:$C$24,MATCH(C157,Catalogo_Servicios!$A$4:$A$24,0))</f>
        <v>Cálculo de planillas y cargas sociales (CCSS/INS)</v>
      </c>
      <c r="F157" s="15" t="n">
        <v>22</v>
      </c>
      <c r="G157" s="16" t="n">
        <f aca="false">Parametros!$B$4</f>
        <v>28681</v>
      </c>
      <c r="H157" s="15" t="n">
        <f aca="false">INDEX(Clientes!$E$4:$E$15,MATCH(B157,Clientes!$A$4:$A$15,0))</f>
        <v>1</v>
      </c>
      <c r="I157" s="16" t="n">
        <f aca="false">ROUND(F157*G157*H157,0)</f>
        <v>630982</v>
      </c>
    </row>
    <row r="158" customFormat="false" ht="15" hidden="false" customHeight="false" outlineLevel="0" collapsed="false">
      <c r="A158" s="14" t="n">
        <v>45413</v>
      </c>
      <c r="B158" s="6" t="s">
        <v>30</v>
      </c>
      <c r="C158" s="6" t="s">
        <v>64</v>
      </c>
      <c r="D158" s="0" t="str">
        <f aca="false">INDEX(Clientes!$B$4:$B$15,MATCH(B158,Clientes!$A$4:$A$15,0))</f>
        <v>Ferretería El Tornillo</v>
      </c>
      <c r="E158" s="0" t="str">
        <f aca="false">INDEX(Catalogo_Servicios!$C$4:$C$24,MATCH(C158,Catalogo_Servicios!$A$4:$A$24,0))</f>
        <v>Estados financieros mensuales</v>
      </c>
      <c r="F158" s="15" t="n">
        <v>3.25</v>
      </c>
      <c r="G158" s="16" t="n">
        <f aca="false">Parametros!$B$4</f>
        <v>28681</v>
      </c>
      <c r="H158" s="15" t="n">
        <f aca="false">INDEX(Clientes!$E$4:$E$15,MATCH(B158,Clientes!$A$4:$A$15,0))</f>
        <v>1</v>
      </c>
      <c r="I158" s="16" t="n">
        <f aca="false">ROUND(F158*G158*H158,0)</f>
        <v>93213</v>
      </c>
    </row>
    <row r="159" customFormat="false" ht="15" hidden="false" customHeight="false" outlineLevel="0" collapsed="false">
      <c r="A159" s="14" t="n">
        <v>45413</v>
      </c>
      <c r="B159" s="6" t="s">
        <v>30</v>
      </c>
      <c r="C159" s="6" t="s">
        <v>65</v>
      </c>
      <c r="D159" s="0" t="str">
        <f aca="false">INDEX(Clientes!$B$4:$B$15,MATCH(B159,Clientes!$A$4:$A$15,0))</f>
        <v>Ferretería El Tornillo</v>
      </c>
      <c r="E159" s="0" t="str">
        <f aca="false">INDEX(Catalogo_Servicios!$C$4:$C$24,MATCH(C159,Catalogo_Servicios!$A$4:$A$24,0))</f>
        <v>Declaración mensual de IVA (D-104)</v>
      </c>
      <c r="F159" s="15" t="n">
        <v>0.75</v>
      </c>
      <c r="G159" s="16" t="n">
        <f aca="false">Parametros!$B$4</f>
        <v>28681</v>
      </c>
      <c r="H159" s="15" t="n">
        <f aca="false">INDEX(Clientes!$E$4:$E$15,MATCH(B159,Clientes!$A$4:$A$15,0))</f>
        <v>1</v>
      </c>
      <c r="I159" s="16" t="n">
        <f aca="false">ROUND(F159*G159*H159,0)</f>
        <v>21511</v>
      </c>
    </row>
    <row r="160" customFormat="false" ht="15" hidden="false" customHeight="false" outlineLevel="0" collapsed="false">
      <c r="A160" s="14" t="n">
        <v>45413</v>
      </c>
      <c r="B160" s="6" t="s">
        <v>30</v>
      </c>
      <c r="C160" s="6" t="s">
        <v>66</v>
      </c>
      <c r="D160" s="0" t="str">
        <f aca="false">INDEX(Clientes!$B$4:$B$15,MATCH(B160,Clientes!$A$4:$A$15,0))</f>
        <v>Ferretería El Tornillo</v>
      </c>
      <c r="E160" s="0" t="str">
        <f aca="false">INDEX(Catalogo_Servicios!$C$4:$C$24,MATCH(C160,Catalogo_Servicios!$A$4:$A$24,0))</f>
        <v>Declaración mensual de retenciones (D-103)</v>
      </c>
      <c r="F160" s="15" t="n">
        <v>0.25</v>
      </c>
      <c r="G160" s="16" t="n">
        <f aca="false">Parametros!$B$4</f>
        <v>28681</v>
      </c>
      <c r="H160" s="15" t="n">
        <f aca="false">INDEX(Clientes!$E$4:$E$15,MATCH(B160,Clientes!$A$4:$A$15,0))</f>
        <v>1</v>
      </c>
      <c r="I160" s="16" t="n">
        <f aca="false">ROUND(F160*G160*H160,0)</f>
        <v>7170</v>
      </c>
    </row>
    <row r="161" customFormat="false" ht="15" hidden="false" customHeight="false" outlineLevel="0" collapsed="false">
      <c r="A161" s="14" t="n">
        <v>45413</v>
      </c>
      <c r="B161" s="6" t="s">
        <v>31</v>
      </c>
      <c r="C161" s="6" t="s">
        <v>68</v>
      </c>
      <c r="D161" s="0" t="str">
        <f aca="false">INDEX(Clientes!$B$4:$B$15,MATCH(B161,Clientes!$A$4:$A$15,0))</f>
        <v>Clínica Dental Sonrisa</v>
      </c>
      <c r="E161" s="0" t="str">
        <f aca="false">INDEX(Catalogo_Servicios!$C$4:$C$24,MATCH(C161,Catalogo_Servicios!$A$4:$A$24,0))</f>
        <v>Asesoría contable, financiera y tributaria</v>
      </c>
      <c r="F161" s="15" t="n">
        <v>1</v>
      </c>
      <c r="G161" s="16" t="n">
        <f aca="false">Parametros!$B$4</f>
        <v>28681</v>
      </c>
      <c r="H161" s="15" t="n">
        <f aca="false">INDEX(Clientes!$E$4:$E$15,MATCH(B161,Clientes!$A$4:$A$15,0))</f>
        <v>1.1</v>
      </c>
      <c r="I161" s="16" t="n">
        <f aca="false">ROUND(F161*G161*H161,0)</f>
        <v>31549</v>
      </c>
    </row>
    <row r="162" customFormat="false" ht="15" hidden="false" customHeight="false" outlineLevel="0" collapsed="false">
      <c r="A162" s="14" t="n">
        <v>45413</v>
      </c>
      <c r="B162" s="6" t="s">
        <v>31</v>
      </c>
      <c r="C162" s="6" t="s">
        <v>65</v>
      </c>
      <c r="D162" s="0" t="str">
        <f aca="false">INDEX(Clientes!$B$4:$B$15,MATCH(B162,Clientes!$A$4:$A$15,0))</f>
        <v>Clínica Dental Sonrisa</v>
      </c>
      <c r="E162" s="0" t="str">
        <f aca="false">INDEX(Catalogo_Servicios!$C$4:$C$24,MATCH(C162,Catalogo_Servicios!$A$4:$A$24,0))</f>
        <v>Declaración mensual de IVA (D-104)</v>
      </c>
      <c r="F162" s="15" t="n">
        <v>0.75</v>
      </c>
      <c r="G162" s="16" t="n">
        <f aca="false">Parametros!$B$4</f>
        <v>28681</v>
      </c>
      <c r="H162" s="15" t="n">
        <f aca="false">INDEX(Clientes!$E$4:$E$15,MATCH(B162,Clientes!$A$4:$A$15,0))</f>
        <v>1.1</v>
      </c>
      <c r="I162" s="16" t="n">
        <f aca="false">ROUND(F162*G162*H162,0)</f>
        <v>23662</v>
      </c>
    </row>
    <row r="163" customFormat="false" ht="15" hidden="false" customHeight="false" outlineLevel="0" collapsed="false">
      <c r="A163" s="14" t="n">
        <v>45413</v>
      </c>
      <c r="B163" s="6" t="s">
        <v>32</v>
      </c>
      <c r="C163" s="6" t="s">
        <v>65</v>
      </c>
      <c r="D163" s="0" t="str">
        <f aca="false">INDEX(Clientes!$B$4:$B$15,MATCH(B163,Clientes!$A$4:$A$15,0))</f>
        <v>Soda y Restaurante Doña Lela</v>
      </c>
      <c r="E163" s="0" t="str">
        <f aca="false">INDEX(Catalogo_Servicios!$C$4:$C$24,MATCH(C163,Catalogo_Servicios!$A$4:$A$24,0))</f>
        <v>Declaración mensual de IVA (D-104)</v>
      </c>
      <c r="F163" s="15" t="n">
        <v>0.75</v>
      </c>
      <c r="G163" s="16" t="n">
        <f aca="false">Parametros!$B$4</f>
        <v>28681</v>
      </c>
      <c r="H163" s="15" t="n">
        <f aca="false">INDEX(Clientes!$E$4:$E$15,MATCH(B163,Clientes!$A$4:$A$15,0))</f>
        <v>1</v>
      </c>
      <c r="I163" s="16" t="n">
        <f aca="false">ROUND(F163*G163*H163,0)</f>
        <v>21511</v>
      </c>
    </row>
    <row r="164" customFormat="false" ht="15" hidden="false" customHeight="false" outlineLevel="0" collapsed="false">
      <c r="A164" s="14" t="n">
        <v>45413</v>
      </c>
      <c r="B164" s="6" t="s">
        <v>33</v>
      </c>
      <c r="C164" s="6" t="s">
        <v>65</v>
      </c>
      <c r="D164" s="0" t="str">
        <f aca="false">INDEX(Clientes!$B$4:$B$15,MATCH(B164,Clientes!$A$4:$A$15,0))</f>
        <v>Transportes Rápidos del Valle</v>
      </c>
      <c r="E164" s="0" t="str">
        <f aca="false">INDEX(Catalogo_Servicios!$C$4:$C$24,MATCH(C164,Catalogo_Servicios!$A$4:$A$24,0))</f>
        <v>Declaración mensual de IVA (D-104)</v>
      </c>
      <c r="F164" s="15" t="n">
        <v>0.75</v>
      </c>
      <c r="G164" s="16" t="n">
        <f aca="false">Parametros!$B$4</f>
        <v>28681</v>
      </c>
      <c r="H164" s="15" t="n">
        <f aca="false">INDEX(Clientes!$E$4:$E$15,MATCH(B164,Clientes!$A$4:$A$15,0))</f>
        <v>1</v>
      </c>
      <c r="I164" s="16" t="n">
        <f aca="false">ROUND(F164*G164*H164,0)</f>
        <v>21511</v>
      </c>
    </row>
    <row r="165" customFormat="false" ht="15" hidden="false" customHeight="false" outlineLevel="0" collapsed="false">
      <c r="A165" s="14" t="n">
        <v>45413</v>
      </c>
      <c r="B165" s="6" t="s">
        <v>33</v>
      </c>
      <c r="C165" s="6" t="s">
        <v>66</v>
      </c>
      <c r="D165" s="0" t="str">
        <f aca="false">INDEX(Clientes!$B$4:$B$15,MATCH(B165,Clientes!$A$4:$A$15,0))</f>
        <v>Transportes Rápidos del Valle</v>
      </c>
      <c r="E165" s="0" t="str">
        <f aca="false">INDEX(Catalogo_Servicios!$C$4:$C$24,MATCH(C165,Catalogo_Servicios!$A$4:$A$24,0))</f>
        <v>Declaración mensual de retenciones (D-103)</v>
      </c>
      <c r="F165" s="15" t="n">
        <v>0.25</v>
      </c>
      <c r="G165" s="16" t="n">
        <f aca="false">Parametros!$B$4</f>
        <v>28681</v>
      </c>
      <c r="H165" s="15" t="n">
        <f aca="false">INDEX(Clientes!$E$4:$E$15,MATCH(B165,Clientes!$A$4:$A$15,0))</f>
        <v>1</v>
      </c>
      <c r="I165" s="16" t="n">
        <f aca="false">ROUND(F165*G165*H165,0)</f>
        <v>7170</v>
      </c>
    </row>
    <row r="166" customFormat="false" ht="15" hidden="false" customHeight="false" outlineLevel="0" collapsed="false">
      <c r="A166" s="14" t="n">
        <v>45413</v>
      </c>
      <c r="B166" s="6" t="s">
        <v>33</v>
      </c>
      <c r="C166" s="6" t="s">
        <v>67</v>
      </c>
      <c r="D166" s="0" t="str">
        <f aca="false">INDEX(Clientes!$B$4:$B$15,MATCH(B166,Clientes!$A$4:$A$15,0))</f>
        <v>Transportes Rápidos del Valle</v>
      </c>
      <c r="E166" s="0" t="str">
        <f aca="false">INDEX(Catalogo_Servicios!$C$4:$C$24,MATCH(C166,Catalogo_Servicios!$A$4:$A$24,0))</f>
        <v>Cálculo de planillas y cargas sociales (CCSS/INS)</v>
      </c>
      <c r="F166" s="15" t="n">
        <v>5.5</v>
      </c>
      <c r="G166" s="16" t="n">
        <f aca="false">Parametros!$B$4</f>
        <v>28681</v>
      </c>
      <c r="H166" s="15" t="n">
        <f aca="false">INDEX(Clientes!$E$4:$E$15,MATCH(B166,Clientes!$A$4:$A$15,0))</f>
        <v>1</v>
      </c>
      <c r="I166" s="16" t="n">
        <f aca="false">ROUND(F166*G166*H166,0)</f>
        <v>157746</v>
      </c>
    </row>
    <row r="167" customFormat="false" ht="15" hidden="false" customHeight="false" outlineLevel="0" collapsed="false">
      <c r="A167" s="14" t="n">
        <v>45413</v>
      </c>
      <c r="B167" s="6" t="s">
        <v>35</v>
      </c>
      <c r="C167" s="6" t="s">
        <v>65</v>
      </c>
      <c r="D167" s="0" t="str">
        <f aca="false">INDEX(Clientes!$B$4:$B$15,MATCH(B167,Clientes!$A$4:$A$15,0))</f>
        <v>Taller Mecánico Hermanos Mora</v>
      </c>
      <c r="E167" s="0" t="str">
        <f aca="false">INDEX(Catalogo_Servicios!$C$4:$C$24,MATCH(C167,Catalogo_Servicios!$A$4:$A$24,0))</f>
        <v>Declaración mensual de IVA (D-104)</v>
      </c>
      <c r="F167" s="15" t="n">
        <v>0.75</v>
      </c>
      <c r="G167" s="16" t="n">
        <f aca="false">Parametros!$B$4</f>
        <v>28681</v>
      </c>
      <c r="H167" s="15" t="n">
        <f aca="false">INDEX(Clientes!$E$4:$E$15,MATCH(B167,Clientes!$A$4:$A$15,0))</f>
        <v>1</v>
      </c>
      <c r="I167" s="16" t="n">
        <f aca="false">ROUND(F167*G167*H167,0)</f>
        <v>21511</v>
      </c>
    </row>
    <row r="168" customFormat="false" ht="15" hidden="false" customHeight="false" outlineLevel="0" collapsed="false">
      <c r="A168" s="14" t="n">
        <v>45413</v>
      </c>
      <c r="B168" s="6" t="s">
        <v>35</v>
      </c>
      <c r="C168" s="6" t="s">
        <v>73</v>
      </c>
      <c r="D168" s="0" t="str">
        <f aca="false">INDEX(Clientes!$B$4:$B$15,MATCH(B168,Clientes!$A$4:$A$15,0))</f>
        <v>Taller Mecánico Hermanos Mora</v>
      </c>
      <c r="E168" s="0" t="str">
        <f aca="false">INDEX(Catalogo_Servicios!$C$4:$C$24,MATCH(C168,Catalogo_Servicios!$A$4:$A$24,0))</f>
        <v>Otros trabajos profesionales no contemplados</v>
      </c>
      <c r="F168" s="15" t="n">
        <v>3</v>
      </c>
      <c r="G168" s="16" t="n">
        <f aca="false">Parametros!$B$4</f>
        <v>28681</v>
      </c>
      <c r="H168" s="15" t="n">
        <f aca="false">INDEX(Clientes!$E$4:$E$15,MATCH(B168,Clientes!$A$4:$A$15,0))</f>
        <v>1</v>
      </c>
      <c r="I168" s="16" t="n">
        <f aca="false">ROUND(F168*G168*H168,0)</f>
        <v>86043</v>
      </c>
    </row>
    <row r="169" customFormat="false" ht="15" hidden="false" customHeight="false" outlineLevel="0" collapsed="false">
      <c r="A169" s="14" t="n">
        <v>45413</v>
      </c>
      <c r="B169" s="6" t="s">
        <v>36</v>
      </c>
      <c r="C169" s="6" t="s">
        <v>65</v>
      </c>
      <c r="D169" s="0" t="str">
        <f aca="false">INDEX(Clientes!$B$4:$B$15,MATCH(B169,Clientes!$A$4:$A$15,0))</f>
        <v>Agroservicios Cartago</v>
      </c>
      <c r="E169" s="0" t="str">
        <f aca="false">INDEX(Catalogo_Servicios!$C$4:$C$24,MATCH(C169,Catalogo_Servicios!$A$4:$A$24,0))</f>
        <v>Declaración mensual de IVA (D-104)</v>
      </c>
      <c r="F169" s="15" t="n">
        <v>0.75</v>
      </c>
      <c r="G169" s="16" t="n">
        <f aca="false">Parametros!$B$4</f>
        <v>28681</v>
      </c>
      <c r="H169" s="15" t="n">
        <f aca="false">INDEX(Clientes!$E$4:$E$15,MATCH(B169,Clientes!$A$4:$A$15,0))</f>
        <v>1</v>
      </c>
      <c r="I169" s="16" t="n">
        <f aca="false">ROUND(F169*G169*H169,0)</f>
        <v>21511</v>
      </c>
    </row>
    <row r="170" customFormat="false" ht="15" hidden="false" customHeight="false" outlineLevel="0" collapsed="false">
      <c r="A170" s="14" t="n">
        <v>45413</v>
      </c>
      <c r="B170" s="6" t="s">
        <v>36</v>
      </c>
      <c r="C170" s="6" t="s">
        <v>66</v>
      </c>
      <c r="D170" s="0" t="str">
        <f aca="false">INDEX(Clientes!$B$4:$B$15,MATCH(B170,Clientes!$A$4:$A$15,0))</f>
        <v>Agroservicios Cartago</v>
      </c>
      <c r="E170" s="0" t="str">
        <f aca="false">INDEX(Catalogo_Servicios!$C$4:$C$24,MATCH(C170,Catalogo_Servicios!$A$4:$A$24,0))</f>
        <v>Declaración mensual de retenciones (D-103)</v>
      </c>
      <c r="F170" s="15" t="n">
        <v>0.25</v>
      </c>
      <c r="G170" s="16" t="n">
        <f aca="false">Parametros!$B$4</f>
        <v>28681</v>
      </c>
      <c r="H170" s="15" t="n">
        <f aca="false">INDEX(Clientes!$E$4:$E$15,MATCH(B170,Clientes!$A$4:$A$15,0))</f>
        <v>1</v>
      </c>
      <c r="I170" s="16" t="n">
        <f aca="false">ROUND(F170*G170*H170,0)</f>
        <v>7170</v>
      </c>
    </row>
    <row r="171" customFormat="false" ht="15" hidden="false" customHeight="false" outlineLevel="0" collapsed="false">
      <c r="A171" s="14" t="n">
        <v>45413</v>
      </c>
      <c r="B171" s="6" t="s">
        <v>38</v>
      </c>
      <c r="C171" s="6" t="s">
        <v>65</v>
      </c>
      <c r="D171" s="0" t="str">
        <f aca="false">INDEX(Clientes!$B$4:$B$15,MATCH(B171,Clientes!$A$4:$A$15,0))</f>
        <v>Panadería La Espiga</v>
      </c>
      <c r="E171" s="0" t="str">
        <f aca="false">INDEX(Catalogo_Servicios!$C$4:$C$24,MATCH(C171,Catalogo_Servicios!$A$4:$A$24,0))</f>
        <v>Declaración mensual de IVA (D-104)</v>
      </c>
      <c r="F171" s="15" t="n">
        <v>0.75</v>
      </c>
      <c r="G171" s="16" t="n">
        <f aca="false">Parametros!$B$4</f>
        <v>28681</v>
      </c>
      <c r="H171" s="15" t="n">
        <f aca="false">INDEX(Clientes!$E$4:$E$15,MATCH(B171,Clientes!$A$4:$A$15,0))</f>
        <v>1</v>
      </c>
      <c r="I171" s="16" t="n">
        <f aca="false">ROUND(F171*G171*H171,0)</f>
        <v>21511</v>
      </c>
    </row>
    <row r="172" customFormat="false" ht="15" hidden="false" customHeight="false" outlineLevel="0" collapsed="false">
      <c r="A172" s="14" t="n">
        <v>45413</v>
      </c>
      <c r="B172" s="6" t="s">
        <v>38</v>
      </c>
      <c r="C172" s="6" t="s">
        <v>67</v>
      </c>
      <c r="D172" s="0" t="str">
        <f aca="false">INDEX(Clientes!$B$4:$B$15,MATCH(B172,Clientes!$A$4:$A$15,0))</f>
        <v>Panadería La Espiga</v>
      </c>
      <c r="E172" s="0" t="str">
        <f aca="false">INDEX(Catalogo_Servicios!$C$4:$C$24,MATCH(C172,Catalogo_Servicios!$A$4:$A$24,0))</f>
        <v>Cálculo de planillas y cargas sociales (CCSS/INS)</v>
      </c>
      <c r="F172" s="15" t="n">
        <v>7</v>
      </c>
      <c r="G172" s="16" t="n">
        <f aca="false">Parametros!$B$4</f>
        <v>28681</v>
      </c>
      <c r="H172" s="15" t="n">
        <f aca="false">INDEX(Clientes!$E$4:$E$15,MATCH(B172,Clientes!$A$4:$A$15,0))</f>
        <v>1</v>
      </c>
      <c r="I172" s="16" t="n">
        <f aca="false">ROUND(F172*G172*H172,0)</f>
        <v>200767</v>
      </c>
    </row>
    <row r="173" customFormat="false" ht="15" hidden="false" customHeight="false" outlineLevel="0" collapsed="false">
      <c r="A173" s="14" t="n">
        <v>45444</v>
      </c>
      <c r="B173" s="6" t="s">
        <v>29</v>
      </c>
      <c r="C173" s="6" t="s">
        <v>64</v>
      </c>
      <c r="D173" s="0" t="str">
        <f aca="false">INDEX(Clientes!$B$4:$B$15,MATCH(B173,Clientes!$A$4:$A$15,0))</f>
        <v>Distribuidora Los Andes S.A.</v>
      </c>
      <c r="E173" s="0" t="str">
        <f aca="false">INDEX(Catalogo_Servicios!$C$4:$C$24,MATCH(C173,Catalogo_Servicios!$A$4:$A$24,0))</f>
        <v>Estados financieros mensuales</v>
      </c>
      <c r="F173" s="15" t="n">
        <v>3</v>
      </c>
      <c r="G173" s="16" t="n">
        <f aca="false">Parametros!$B$4</f>
        <v>28681</v>
      </c>
      <c r="H173" s="15" t="n">
        <f aca="false">INDEX(Clientes!$E$4:$E$15,MATCH(B173,Clientes!$A$4:$A$15,0))</f>
        <v>1</v>
      </c>
      <c r="I173" s="16" t="n">
        <f aca="false">ROUND(F173*G173*H173,0)</f>
        <v>86043</v>
      </c>
    </row>
    <row r="174" customFormat="false" ht="15" hidden="false" customHeight="false" outlineLevel="0" collapsed="false">
      <c r="A174" s="14" t="n">
        <v>45444</v>
      </c>
      <c r="B174" s="6" t="s">
        <v>29</v>
      </c>
      <c r="C174" s="6" t="s">
        <v>65</v>
      </c>
      <c r="D174" s="0" t="str">
        <f aca="false">INDEX(Clientes!$B$4:$B$15,MATCH(B174,Clientes!$A$4:$A$15,0))</f>
        <v>Distribuidora Los Andes S.A.</v>
      </c>
      <c r="E174" s="0" t="str">
        <f aca="false">INDEX(Catalogo_Servicios!$C$4:$C$24,MATCH(C174,Catalogo_Servicios!$A$4:$A$24,0))</f>
        <v>Declaración mensual de IVA (D-104)</v>
      </c>
      <c r="F174" s="15" t="n">
        <v>0.75</v>
      </c>
      <c r="G174" s="16" t="n">
        <f aca="false">Parametros!$B$4</f>
        <v>28681</v>
      </c>
      <c r="H174" s="15" t="n">
        <f aca="false">INDEX(Clientes!$E$4:$E$15,MATCH(B174,Clientes!$A$4:$A$15,0))</f>
        <v>1</v>
      </c>
      <c r="I174" s="16" t="n">
        <f aca="false">ROUND(F174*G174*H174,0)</f>
        <v>21511</v>
      </c>
    </row>
    <row r="175" customFormat="false" ht="15" hidden="false" customHeight="false" outlineLevel="0" collapsed="false">
      <c r="A175" s="14" t="n">
        <v>45444</v>
      </c>
      <c r="B175" s="6" t="s">
        <v>29</v>
      </c>
      <c r="C175" s="6" t="s">
        <v>66</v>
      </c>
      <c r="D175" s="0" t="str">
        <f aca="false">INDEX(Clientes!$B$4:$B$15,MATCH(B175,Clientes!$A$4:$A$15,0))</f>
        <v>Distribuidora Los Andes S.A.</v>
      </c>
      <c r="E175" s="0" t="str">
        <f aca="false">INDEX(Catalogo_Servicios!$C$4:$C$24,MATCH(C175,Catalogo_Servicios!$A$4:$A$24,0))</f>
        <v>Declaración mensual de retenciones (D-103)</v>
      </c>
      <c r="F175" s="15" t="n">
        <v>0.25</v>
      </c>
      <c r="G175" s="16" t="n">
        <f aca="false">Parametros!$B$4</f>
        <v>28681</v>
      </c>
      <c r="H175" s="15" t="n">
        <f aca="false">INDEX(Clientes!$E$4:$E$15,MATCH(B175,Clientes!$A$4:$A$15,0))</f>
        <v>1</v>
      </c>
      <c r="I175" s="16" t="n">
        <f aca="false">ROUND(F175*G175*H175,0)</f>
        <v>7170</v>
      </c>
    </row>
    <row r="176" customFormat="false" ht="15" hidden="false" customHeight="false" outlineLevel="0" collapsed="false">
      <c r="A176" s="14" t="n">
        <v>45444</v>
      </c>
      <c r="B176" s="6" t="s">
        <v>29</v>
      </c>
      <c r="C176" s="6" t="s">
        <v>67</v>
      </c>
      <c r="D176" s="0" t="str">
        <f aca="false">INDEX(Clientes!$B$4:$B$15,MATCH(B176,Clientes!$A$4:$A$15,0))</f>
        <v>Distribuidora Los Andes S.A.</v>
      </c>
      <c r="E176" s="0" t="str">
        <f aca="false">INDEX(Catalogo_Servicios!$C$4:$C$24,MATCH(C176,Catalogo_Servicios!$A$4:$A$24,0))</f>
        <v>Cálculo de planillas y cargas sociales (CCSS/INS)</v>
      </c>
      <c r="F176" s="15" t="n">
        <v>20</v>
      </c>
      <c r="G176" s="16" t="n">
        <f aca="false">Parametros!$B$4</f>
        <v>28681</v>
      </c>
      <c r="H176" s="15" t="n">
        <f aca="false">INDEX(Clientes!$E$4:$E$15,MATCH(B176,Clientes!$A$4:$A$15,0))</f>
        <v>1</v>
      </c>
      <c r="I176" s="16" t="n">
        <f aca="false">ROUND(F176*G176*H176,0)</f>
        <v>573620</v>
      </c>
    </row>
    <row r="177" customFormat="false" ht="15" hidden="false" customHeight="false" outlineLevel="0" collapsed="false">
      <c r="A177" s="14" t="n">
        <v>45444</v>
      </c>
      <c r="B177" s="6" t="s">
        <v>30</v>
      </c>
      <c r="C177" s="6" t="s">
        <v>64</v>
      </c>
      <c r="D177" s="0" t="str">
        <f aca="false">INDEX(Clientes!$B$4:$B$15,MATCH(B177,Clientes!$A$4:$A$15,0))</f>
        <v>Ferretería El Tornillo</v>
      </c>
      <c r="E177" s="0" t="str">
        <f aca="false">INDEX(Catalogo_Servicios!$C$4:$C$24,MATCH(C177,Catalogo_Servicios!$A$4:$A$24,0))</f>
        <v>Estados financieros mensuales</v>
      </c>
      <c r="F177" s="15" t="n">
        <v>3</v>
      </c>
      <c r="G177" s="16" t="n">
        <f aca="false">Parametros!$B$4</f>
        <v>28681</v>
      </c>
      <c r="H177" s="15" t="n">
        <f aca="false">INDEX(Clientes!$E$4:$E$15,MATCH(B177,Clientes!$A$4:$A$15,0))</f>
        <v>1</v>
      </c>
      <c r="I177" s="16" t="n">
        <f aca="false">ROUND(F177*G177*H177,0)</f>
        <v>86043</v>
      </c>
    </row>
    <row r="178" customFormat="false" ht="15" hidden="false" customHeight="false" outlineLevel="0" collapsed="false">
      <c r="A178" s="14" t="n">
        <v>45444</v>
      </c>
      <c r="B178" s="6" t="s">
        <v>30</v>
      </c>
      <c r="C178" s="6" t="s">
        <v>65</v>
      </c>
      <c r="D178" s="0" t="str">
        <f aca="false">INDEX(Clientes!$B$4:$B$15,MATCH(B178,Clientes!$A$4:$A$15,0))</f>
        <v>Ferretería El Tornillo</v>
      </c>
      <c r="E178" s="0" t="str">
        <f aca="false">INDEX(Catalogo_Servicios!$C$4:$C$24,MATCH(C178,Catalogo_Servicios!$A$4:$A$24,0))</f>
        <v>Declaración mensual de IVA (D-104)</v>
      </c>
      <c r="F178" s="15" t="n">
        <v>0.75</v>
      </c>
      <c r="G178" s="16" t="n">
        <f aca="false">Parametros!$B$4</f>
        <v>28681</v>
      </c>
      <c r="H178" s="15" t="n">
        <f aca="false">INDEX(Clientes!$E$4:$E$15,MATCH(B178,Clientes!$A$4:$A$15,0))</f>
        <v>1</v>
      </c>
      <c r="I178" s="16" t="n">
        <f aca="false">ROUND(F178*G178*H178,0)</f>
        <v>21511</v>
      </c>
    </row>
    <row r="179" customFormat="false" ht="15" hidden="false" customHeight="false" outlineLevel="0" collapsed="false">
      <c r="A179" s="14" t="n">
        <v>45444</v>
      </c>
      <c r="B179" s="6" t="s">
        <v>30</v>
      </c>
      <c r="C179" s="6" t="s">
        <v>66</v>
      </c>
      <c r="D179" s="0" t="str">
        <f aca="false">INDEX(Clientes!$B$4:$B$15,MATCH(B179,Clientes!$A$4:$A$15,0))</f>
        <v>Ferretería El Tornillo</v>
      </c>
      <c r="E179" s="0" t="str">
        <f aca="false">INDEX(Catalogo_Servicios!$C$4:$C$24,MATCH(C179,Catalogo_Servicios!$A$4:$A$24,0))</f>
        <v>Declaración mensual de retenciones (D-103)</v>
      </c>
      <c r="F179" s="15" t="n">
        <v>0.25</v>
      </c>
      <c r="G179" s="16" t="n">
        <f aca="false">Parametros!$B$4</f>
        <v>28681</v>
      </c>
      <c r="H179" s="15" t="n">
        <f aca="false">INDEX(Clientes!$E$4:$E$15,MATCH(B179,Clientes!$A$4:$A$15,0))</f>
        <v>1</v>
      </c>
      <c r="I179" s="16" t="n">
        <f aca="false">ROUND(F179*G179*H179,0)</f>
        <v>7170</v>
      </c>
    </row>
    <row r="180" customFormat="false" ht="15" hidden="false" customHeight="false" outlineLevel="0" collapsed="false">
      <c r="A180" s="14" t="n">
        <v>45444</v>
      </c>
      <c r="B180" s="6" t="s">
        <v>31</v>
      </c>
      <c r="C180" s="6" t="s">
        <v>65</v>
      </c>
      <c r="D180" s="0" t="str">
        <f aca="false">INDEX(Clientes!$B$4:$B$15,MATCH(B180,Clientes!$A$4:$A$15,0))</f>
        <v>Clínica Dental Sonrisa</v>
      </c>
      <c r="E180" s="0" t="str">
        <f aca="false">INDEX(Catalogo_Servicios!$C$4:$C$24,MATCH(C180,Catalogo_Servicios!$A$4:$A$24,0))</f>
        <v>Declaración mensual de IVA (D-104)</v>
      </c>
      <c r="F180" s="15" t="n">
        <v>0.75</v>
      </c>
      <c r="G180" s="16" t="n">
        <f aca="false">Parametros!$B$4</f>
        <v>28681</v>
      </c>
      <c r="H180" s="15" t="n">
        <f aca="false">INDEX(Clientes!$E$4:$E$15,MATCH(B180,Clientes!$A$4:$A$15,0))</f>
        <v>1.1</v>
      </c>
      <c r="I180" s="16" t="n">
        <f aca="false">ROUND(F180*G180*H180,0)</f>
        <v>23662</v>
      </c>
    </row>
    <row r="181" customFormat="false" ht="15" hidden="false" customHeight="false" outlineLevel="0" collapsed="false">
      <c r="A181" s="14" t="n">
        <v>45444</v>
      </c>
      <c r="B181" s="6" t="s">
        <v>32</v>
      </c>
      <c r="C181" s="6" t="s">
        <v>65</v>
      </c>
      <c r="D181" s="0" t="str">
        <f aca="false">INDEX(Clientes!$B$4:$B$15,MATCH(B181,Clientes!$A$4:$A$15,0))</f>
        <v>Soda y Restaurante Doña Lela</v>
      </c>
      <c r="E181" s="0" t="str">
        <f aca="false">INDEX(Catalogo_Servicios!$C$4:$C$24,MATCH(C181,Catalogo_Servicios!$A$4:$A$24,0))</f>
        <v>Declaración mensual de IVA (D-104)</v>
      </c>
      <c r="F181" s="15" t="n">
        <v>0.75</v>
      </c>
      <c r="G181" s="16" t="n">
        <f aca="false">Parametros!$B$4</f>
        <v>28681</v>
      </c>
      <c r="H181" s="15" t="n">
        <f aca="false">INDEX(Clientes!$E$4:$E$15,MATCH(B181,Clientes!$A$4:$A$15,0))</f>
        <v>1</v>
      </c>
      <c r="I181" s="16" t="n">
        <f aca="false">ROUND(F181*G181*H181,0)</f>
        <v>21511</v>
      </c>
    </row>
    <row r="182" customFormat="false" ht="15" hidden="false" customHeight="false" outlineLevel="0" collapsed="false">
      <c r="A182" s="14" t="n">
        <v>45444</v>
      </c>
      <c r="B182" s="6" t="s">
        <v>33</v>
      </c>
      <c r="C182" s="6" t="s">
        <v>65</v>
      </c>
      <c r="D182" s="0" t="str">
        <f aca="false">INDEX(Clientes!$B$4:$B$15,MATCH(B182,Clientes!$A$4:$A$15,0))</f>
        <v>Transportes Rápidos del Valle</v>
      </c>
      <c r="E182" s="0" t="str">
        <f aca="false">INDEX(Catalogo_Servicios!$C$4:$C$24,MATCH(C182,Catalogo_Servicios!$A$4:$A$24,0))</f>
        <v>Declaración mensual de IVA (D-104)</v>
      </c>
      <c r="F182" s="15" t="n">
        <v>0.75</v>
      </c>
      <c r="G182" s="16" t="n">
        <f aca="false">Parametros!$B$4</f>
        <v>28681</v>
      </c>
      <c r="H182" s="15" t="n">
        <f aca="false">INDEX(Clientes!$E$4:$E$15,MATCH(B182,Clientes!$A$4:$A$15,0))</f>
        <v>1</v>
      </c>
      <c r="I182" s="16" t="n">
        <f aca="false">ROUND(F182*G182*H182,0)</f>
        <v>21511</v>
      </c>
    </row>
    <row r="183" customFormat="false" ht="15" hidden="false" customHeight="false" outlineLevel="0" collapsed="false">
      <c r="A183" s="14" t="n">
        <v>45444</v>
      </c>
      <c r="B183" s="6" t="s">
        <v>33</v>
      </c>
      <c r="C183" s="6" t="s">
        <v>66</v>
      </c>
      <c r="D183" s="0" t="str">
        <f aca="false">INDEX(Clientes!$B$4:$B$15,MATCH(B183,Clientes!$A$4:$A$15,0))</f>
        <v>Transportes Rápidos del Valle</v>
      </c>
      <c r="E183" s="0" t="str">
        <f aca="false">INDEX(Catalogo_Servicios!$C$4:$C$24,MATCH(C183,Catalogo_Servicios!$A$4:$A$24,0))</f>
        <v>Declaración mensual de retenciones (D-103)</v>
      </c>
      <c r="F183" s="15" t="n">
        <v>0.25</v>
      </c>
      <c r="G183" s="16" t="n">
        <f aca="false">Parametros!$B$4</f>
        <v>28681</v>
      </c>
      <c r="H183" s="15" t="n">
        <f aca="false">INDEX(Clientes!$E$4:$E$15,MATCH(B183,Clientes!$A$4:$A$15,0))</f>
        <v>1</v>
      </c>
      <c r="I183" s="16" t="n">
        <f aca="false">ROUND(F183*G183*H183,0)</f>
        <v>7170</v>
      </c>
    </row>
    <row r="184" customFormat="false" ht="15" hidden="false" customHeight="false" outlineLevel="0" collapsed="false">
      <c r="A184" s="14" t="n">
        <v>45444</v>
      </c>
      <c r="B184" s="6" t="s">
        <v>33</v>
      </c>
      <c r="C184" s="6" t="s">
        <v>67</v>
      </c>
      <c r="D184" s="0" t="str">
        <f aca="false">INDEX(Clientes!$B$4:$B$15,MATCH(B184,Clientes!$A$4:$A$15,0))</f>
        <v>Transportes Rápidos del Valle</v>
      </c>
      <c r="E184" s="0" t="str">
        <f aca="false">INDEX(Catalogo_Servicios!$C$4:$C$24,MATCH(C184,Catalogo_Servicios!$A$4:$A$24,0))</f>
        <v>Cálculo de planillas y cargas sociales (CCSS/INS)</v>
      </c>
      <c r="F184" s="15" t="n">
        <v>5.5</v>
      </c>
      <c r="G184" s="16" t="n">
        <f aca="false">Parametros!$B$4</f>
        <v>28681</v>
      </c>
      <c r="H184" s="15" t="n">
        <f aca="false">INDEX(Clientes!$E$4:$E$15,MATCH(B184,Clientes!$A$4:$A$15,0))</f>
        <v>1</v>
      </c>
      <c r="I184" s="16" t="n">
        <f aca="false">ROUND(F184*G184*H184,0)</f>
        <v>157746</v>
      </c>
    </row>
    <row r="185" customFormat="false" ht="15" hidden="false" customHeight="false" outlineLevel="0" collapsed="false">
      <c r="A185" s="14" t="n">
        <v>45444</v>
      </c>
      <c r="B185" s="6" t="s">
        <v>35</v>
      </c>
      <c r="C185" s="6" t="s">
        <v>65</v>
      </c>
      <c r="D185" s="0" t="str">
        <f aca="false">INDEX(Clientes!$B$4:$B$15,MATCH(B185,Clientes!$A$4:$A$15,0))</f>
        <v>Taller Mecánico Hermanos Mora</v>
      </c>
      <c r="E185" s="0" t="str">
        <f aca="false">INDEX(Catalogo_Servicios!$C$4:$C$24,MATCH(C185,Catalogo_Servicios!$A$4:$A$24,0))</f>
        <v>Declaración mensual de IVA (D-104)</v>
      </c>
      <c r="F185" s="15" t="n">
        <v>0.75</v>
      </c>
      <c r="G185" s="16" t="n">
        <f aca="false">Parametros!$B$4</f>
        <v>28681</v>
      </c>
      <c r="H185" s="15" t="n">
        <f aca="false">INDEX(Clientes!$E$4:$E$15,MATCH(B185,Clientes!$A$4:$A$15,0))</f>
        <v>1</v>
      </c>
      <c r="I185" s="16" t="n">
        <f aca="false">ROUND(F185*G185*H185,0)</f>
        <v>21511</v>
      </c>
    </row>
    <row r="186" customFormat="false" ht="15" hidden="false" customHeight="false" outlineLevel="0" collapsed="false">
      <c r="A186" s="14" t="n">
        <v>45444</v>
      </c>
      <c r="B186" s="6" t="s">
        <v>36</v>
      </c>
      <c r="C186" s="6" t="s">
        <v>65</v>
      </c>
      <c r="D186" s="0" t="str">
        <f aca="false">INDEX(Clientes!$B$4:$B$15,MATCH(B186,Clientes!$A$4:$A$15,0))</f>
        <v>Agroservicios Cartago</v>
      </c>
      <c r="E186" s="0" t="str">
        <f aca="false">INDEX(Catalogo_Servicios!$C$4:$C$24,MATCH(C186,Catalogo_Servicios!$A$4:$A$24,0))</f>
        <v>Declaración mensual de IVA (D-104)</v>
      </c>
      <c r="F186" s="15" t="n">
        <v>0.75</v>
      </c>
      <c r="G186" s="16" t="n">
        <f aca="false">Parametros!$B$4</f>
        <v>28681</v>
      </c>
      <c r="H186" s="15" t="n">
        <f aca="false">INDEX(Clientes!$E$4:$E$15,MATCH(B186,Clientes!$A$4:$A$15,0))</f>
        <v>1</v>
      </c>
      <c r="I186" s="16" t="n">
        <f aca="false">ROUND(F186*G186*H186,0)</f>
        <v>21511</v>
      </c>
    </row>
    <row r="187" customFormat="false" ht="15" hidden="false" customHeight="false" outlineLevel="0" collapsed="false">
      <c r="A187" s="14" t="n">
        <v>45444</v>
      </c>
      <c r="B187" s="6" t="s">
        <v>36</v>
      </c>
      <c r="C187" s="6" t="s">
        <v>66</v>
      </c>
      <c r="D187" s="0" t="str">
        <f aca="false">INDEX(Clientes!$B$4:$B$15,MATCH(B187,Clientes!$A$4:$A$15,0))</f>
        <v>Agroservicios Cartago</v>
      </c>
      <c r="E187" s="0" t="str">
        <f aca="false">INDEX(Catalogo_Servicios!$C$4:$C$24,MATCH(C187,Catalogo_Servicios!$A$4:$A$24,0))</f>
        <v>Declaración mensual de retenciones (D-103)</v>
      </c>
      <c r="F187" s="15" t="n">
        <v>0.25</v>
      </c>
      <c r="G187" s="16" t="n">
        <f aca="false">Parametros!$B$4</f>
        <v>28681</v>
      </c>
      <c r="H187" s="15" t="n">
        <f aca="false">INDEX(Clientes!$E$4:$E$15,MATCH(B187,Clientes!$A$4:$A$15,0))</f>
        <v>1</v>
      </c>
      <c r="I187" s="16" t="n">
        <f aca="false">ROUND(F187*G187*H187,0)</f>
        <v>7170</v>
      </c>
    </row>
    <row r="188" customFormat="false" ht="15" hidden="false" customHeight="false" outlineLevel="0" collapsed="false">
      <c r="A188" s="14" t="n">
        <v>45444</v>
      </c>
      <c r="B188" s="6" t="s">
        <v>38</v>
      </c>
      <c r="C188" s="6" t="s">
        <v>65</v>
      </c>
      <c r="D188" s="0" t="str">
        <f aca="false">INDEX(Clientes!$B$4:$B$15,MATCH(B188,Clientes!$A$4:$A$15,0))</f>
        <v>Panadería La Espiga</v>
      </c>
      <c r="E188" s="0" t="str">
        <f aca="false">INDEX(Catalogo_Servicios!$C$4:$C$24,MATCH(C188,Catalogo_Servicios!$A$4:$A$24,0))</f>
        <v>Declaración mensual de IVA (D-104)</v>
      </c>
      <c r="F188" s="15" t="n">
        <v>0.75</v>
      </c>
      <c r="G188" s="16" t="n">
        <f aca="false">Parametros!$B$4</f>
        <v>28681</v>
      </c>
      <c r="H188" s="15" t="n">
        <f aca="false">INDEX(Clientes!$E$4:$E$15,MATCH(B188,Clientes!$A$4:$A$15,0))</f>
        <v>1</v>
      </c>
      <c r="I188" s="16" t="n">
        <f aca="false">ROUND(F188*G188*H188,0)</f>
        <v>21511</v>
      </c>
    </row>
    <row r="189" customFormat="false" ht="15" hidden="false" customHeight="false" outlineLevel="0" collapsed="false">
      <c r="A189" s="14" t="n">
        <v>45444</v>
      </c>
      <c r="B189" s="6" t="s">
        <v>38</v>
      </c>
      <c r="C189" s="6" t="s">
        <v>67</v>
      </c>
      <c r="D189" s="0" t="str">
        <f aca="false">INDEX(Clientes!$B$4:$B$15,MATCH(B189,Clientes!$A$4:$A$15,0))</f>
        <v>Panadería La Espiga</v>
      </c>
      <c r="E189" s="0" t="str">
        <f aca="false">INDEX(Catalogo_Servicios!$C$4:$C$24,MATCH(C189,Catalogo_Servicios!$A$4:$A$24,0))</f>
        <v>Cálculo de planillas y cargas sociales (CCSS/INS)</v>
      </c>
      <c r="F189" s="15" t="n">
        <v>7</v>
      </c>
      <c r="G189" s="16" t="n">
        <f aca="false">Parametros!$B$4</f>
        <v>28681</v>
      </c>
      <c r="H189" s="15" t="n">
        <f aca="false">INDEX(Clientes!$E$4:$E$15,MATCH(B189,Clientes!$A$4:$A$15,0))</f>
        <v>1</v>
      </c>
      <c r="I189" s="16" t="n">
        <f aca="false">ROUND(F189*G189*H189,0)</f>
        <v>200767</v>
      </c>
    </row>
    <row r="190" customFormat="false" ht="15" hidden="false" customHeight="false" outlineLevel="0" collapsed="false">
      <c r="A190" s="14" t="n">
        <v>45474</v>
      </c>
      <c r="B190" s="6" t="s">
        <v>29</v>
      </c>
      <c r="C190" s="6" t="s">
        <v>64</v>
      </c>
      <c r="D190" s="0" t="str">
        <f aca="false">INDEX(Clientes!$B$4:$B$15,MATCH(B190,Clientes!$A$4:$A$15,0))</f>
        <v>Distribuidora Los Andes S.A.</v>
      </c>
      <c r="E190" s="0" t="str">
        <f aca="false">INDEX(Catalogo_Servicios!$C$4:$C$24,MATCH(C190,Catalogo_Servicios!$A$4:$A$24,0))</f>
        <v>Estados financieros mensuales</v>
      </c>
      <c r="F190" s="15" t="n">
        <v>3</v>
      </c>
      <c r="G190" s="16" t="n">
        <f aca="false">Parametros!$B$4</f>
        <v>28681</v>
      </c>
      <c r="H190" s="15" t="n">
        <f aca="false">INDEX(Clientes!$E$4:$E$15,MATCH(B190,Clientes!$A$4:$A$15,0))</f>
        <v>1</v>
      </c>
      <c r="I190" s="16" t="n">
        <f aca="false">ROUND(F190*G190*H190,0)</f>
        <v>86043</v>
      </c>
    </row>
    <row r="191" customFormat="false" ht="15" hidden="false" customHeight="false" outlineLevel="0" collapsed="false">
      <c r="A191" s="14" t="n">
        <v>45474</v>
      </c>
      <c r="B191" s="6" t="s">
        <v>29</v>
      </c>
      <c r="C191" s="6" t="s">
        <v>65</v>
      </c>
      <c r="D191" s="0" t="str">
        <f aca="false">INDEX(Clientes!$B$4:$B$15,MATCH(B191,Clientes!$A$4:$A$15,0))</f>
        <v>Distribuidora Los Andes S.A.</v>
      </c>
      <c r="E191" s="0" t="str">
        <f aca="false">INDEX(Catalogo_Servicios!$C$4:$C$24,MATCH(C191,Catalogo_Servicios!$A$4:$A$24,0))</f>
        <v>Declaración mensual de IVA (D-104)</v>
      </c>
      <c r="F191" s="15" t="n">
        <v>0.75</v>
      </c>
      <c r="G191" s="16" t="n">
        <f aca="false">Parametros!$B$4</f>
        <v>28681</v>
      </c>
      <c r="H191" s="15" t="n">
        <f aca="false">INDEX(Clientes!$E$4:$E$15,MATCH(B191,Clientes!$A$4:$A$15,0))</f>
        <v>1</v>
      </c>
      <c r="I191" s="16" t="n">
        <f aca="false">ROUND(F191*G191*H191,0)</f>
        <v>21511</v>
      </c>
    </row>
    <row r="192" customFormat="false" ht="15" hidden="false" customHeight="false" outlineLevel="0" collapsed="false">
      <c r="A192" s="14" t="n">
        <v>45474</v>
      </c>
      <c r="B192" s="6" t="s">
        <v>29</v>
      </c>
      <c r="C192" s="6" t="s">
        <v>66</v>
      </c>
      <c r="D192" s="0" t="str">
        <f aca="false">INDEX(Clientes!$B$4:$B$15,MATCH(B192,Clientes!$A$4:$A$15,0))</f>
        <v>Distribuidora Los Andes S.A.</v>
      </c>
      <c r="E192" s="0" t="str">
        <f aca="false">INDEX(Catalogo_Servicios!$C$4:$C$24,MATCH(C192,Catalogo_Servicios!$A$4:$A$24,0))</f>
        <v>Declaración mensual de retenciones (D-103)</v>
      </c>
      <c r="F192" s="15" t="n">
        <v>0.25</v>
      </c>
      <c r="G192" s="16" t="n">
        <f aca="false">Parametros!$B$4</f>
        <v>28681</v>
      </c>
      <c r="H192" s="15" t="n">
        <f aca="false">INDEX(Clientes!$E$4:$E$15,MATCH(B192,Clientes!$A$4:$A$15,0))</f>
        <v>1</v>
      </c>
      <c r="I192" s="16" t="n">
        <f aca="false">ROUND(F192*G192*H192,0)</f>
        <v>7170</v>
      </c>
    </row>
    <row r="193" customFormat="false" ht="15" hidden="false" customHeight="false" outlineLevel="0" collapsed="false">
      <c r="A193" s="14" t="n">
        <v>45474</v>
      </c>
      <c r="B193" s="6" t="s">
        <v>29</v>
      </c>
      <c r="C193" s="6" t="s">
        <v>67</v>
      </c>
      <c r="D193" s="0" t="str">
        <f aca="false">INDEX(Clientes!$B$4:$B$15,MATCH(B193,Clientes!$A$4:$A$15,0))</f>
        <v>Distribuidora Los Andes S.A.</v>
      </c>
      <c r="E193" s="0" t="str">
        <f aca="false">INDEX(Catalogo_Servicios!$C$4:$C$24,MATCH(C193,Catalogo_Servicios!$A$4:$A$24,0))</f>
        <v>Cálculo de planillas y cargas sociales (CCSS/INS)</v>
      </c>
      <c r="F193" s="15" t="n">
        <v>30.5</v>
      </c>
      <c r="G193" s="16" t="n">
        <f aca="false">Parametros!$B$4</f>
        <v>28681</v>
      </c>
      <c r="H193" s="15" t="n">
        <f aca="false">INDEX(Clientes!$E$4:$E$15,MATCH(B193,Clientes!$A$4:$A$15,0))</f>
        <v>1</v>
      </c>
      <c r="I193" s="16" t="n">
        <f aca="false">ROUND(F193*G193*H193,0)</f>
        <v>874771</v>
      </c>
    </row>
    <row r="194" customFormat="false" ht="15" hidden="false" customHeight="false" outlineLevel="0" collapsed="false">
      <c r="A194" s="14" t="n">
        <v>45474</v>
      </c>
      <c r="B194" s="6" t="s">
        <v>30</v>
      </c>
      <c r="C194" s="6" t="s">
        <v>64</v>
      </c>
      <c r="D194" s="0" t="str">
        <f aca="false">INDEX(Clientes!$B$4:$B$15,MATCH(B194,Clientes!$A$4:$A$15,0))</f>
        <v>Ferretería El Tornillo</v>
      </c>
      <c r="E194" s="0" t="str">
        <f aca="false">INDEX(Catalogo_Servicios!$C$4:$C$24,MATCH(C194,Catalogo_Servicios!$A$4:$A$24,0))</f>
        <v>Estados financieros mensuales</v>
      </c>
      <c r="F194" s="15" t="n">
        <v>3.25</v>
      </c>
      <c r="G194" s="16" t="n">
        <f aca="false">Parametros!$B$4</f>
        <v>28681</v>
      </c>
      <c r="H194" s="15" t="n">
        <f aca="false">INDEX(Clientes!$E$4:$E$15,MATCH(B194,Clientes!$A$4:$A$15,0))</f>
        <v>1</v>
      </c>
      <c r="I194" s="16" t="n">
        <f aca="false">ROUND(F194*G194*H194,0)</f>
        <v>93213</v>
      </c>
    </row>
    <row r="195" customFormat="false" ht="15" hidden="false" customHeight="false" outlineLevel="0" collapsed="false">
      <c r="A195" s="14" t="n">
        <v>45474</v>
      </c>
      <c r="B195" s="6" t="s">
        <v>30</v>
      </c>
      <c r="C195" s="6" t="s">
        <v>65</v>
      </c>
      <c r="D195" s="0" t="str">
        <f aca="false">INDEX(Clientes!$B$4:$B$15,MATCH(B195,Clientes!$A$4:$A$15,0))</f>
        <v>Ferretería El Tornillo</v>
      </c>
      <c r="E195" s="0" t="str">
        <f aca="false">INDEX(Catalogo_Servicios!$C$4:$C$24,MATCH(C195,Catalogo_Servicios!$A$4:$A$24,0))</f>
        <v>Declaración mensual de IVA (D-104)</v>
      </c>
      <c r="F195" s="15" t="n">
        <v>0.75</v>
      </c>
      <c r="G195" s="16" t="n">
        <f aca="false">Parametros!$B$4</f>
        <v>28681</v>
      </c>
      <c r="H195" s="15" t="n">
        <f aca="false">INDEX(Clientes!$E$4:$E$15,MATCH(B195,Clientes!$A$4:$A$15,0))</f>
        <v>1</v>
      </c>
      <c r="I195" s="16" t="n">
        <f aca="false">ROUND(F195*G195*H195,0)</f>
        <v>21511</v>
      </c>
    </row>
    <row r="196" customFormat="false" ht="15" hidden="false" customHeight="false" outlineLevel="0" collapsed="false">
      <c r="A196" s="14" t="n">
        <v>45474</v>
      </c>
      <c r="B196" s="6" t="s">
        <v>30</v>
      </c>
      <c r="C196" s="6" t="s">
        <v>66</v>
      </c>
      <c r="D196" s="0" t="str">
        <f aca="false">INDEX(Clientes!$B$4:$B$15,MATCH(B196,Clientes!$A$4:$A$15,0))</f>
        <v>Ferretería El Tornillo</v>
      </c>
      <c r="E196" s="0" t="str">
        <f aca="false">INDEX(Catalogo_Servicios!$C$4:$C$24,MATCH(C196,Catalogo_Servicios!$A$4:$A$24,0))</f>
        <v>Declaración mensual de retenciones (D-103)</v>
      </c>
      <c r="F196" s="15" t="n">
        <v>0.25</v>
      </c>
      <c r="G196" s="16" t="n">
        <f aca="false">Parametros!$B$4</f>
        <v>28681</v>
      </c>
      <c r="H196" s="15" t="n">
        <f aca="false">INDEX(Clientes!$E$4:$E$15,MATCH(B196,Clientes!$A$4:$A$15,0))</f>
        <v>1</v>
      </c>
      <c r="I196" s="16" t="n">
        <f aca="false">ROUND(F196*G196*H196,0)</f>
        <v>7170</v>
      </c>
    </row>
    <row r="197" customFormat="false" ht="15" hidden="false" customHeight="false" outlineLevel="0" collapsed="false">
      <c r="A197" s="14" t="n">
        <v>45474</v>
      </c>
      <c r="B197" s="6" t="s">
        <v>31</v>
      </c>
      <c r="C197" s="6" t="s">
        <v>65</v>
      </c>
      <c r="D197" s="0" t="str">
        <f aca="false">INDEX(Clientes!$B$4:$B$15,MATCH(B197,Clientes!$A$4:$A$15,0))</f>
        <v>Clínica Dental Sonrisa</v>
      </c>
      <c r="E197" s="0" t="str">
        <f aca="false">INDEX(Catalogo_Servicios!$C$4:$C$24,MATCH(C197,Catalogo_Servicios!$A$4:$A$24,0))</f>
        <v>Declaración mensual de IVA (D-104)</v>
      </c>
      <c r="F197" s="15" t="n">
        <v>0.75</v>
      </c>
      <c r="G197" s="16" t="n">
        <f aca="false">Parametros!$B$4</f>
        <v>28681</v>
      </c>
      <c r="H197" s="15" t="n">
        <f aca="false">INDEX(Clientes!$E$4:$E$15,MATCH(B197,Clientes!$A$4:$A$15,0))</f>
        <v>1.1</v>
      </c>
      <c r="I197" s="16" t="n">
        <f aca="false">ROUND(F197*G197*H197,0)</f>
        <v>23662</v>
      </c>
    </row>
    <row r="198" customFormat="false" ht="15" hidden="false" customHeight="false" outlineLevel="0" collapsed="false">
      <c r="A198" s="14" t="n">
        <v>45474</v>
      </c>
      <c r="B198" s="6" t="s">
        <v>32</v>
      </c>
      <c r="C198" s="6" t="s">
        <v>65</v>
      </c>
      <c r="D198" s="0" t="str">
        <f aca="false">INDEX(Clientes!$B$4:$B$15,MATCH(B198,Clientes!$A$4:$A$15,0))</f>
        <v>Soda y Restaurante Doña Lela</v>
      </c>
      <c r="E198" s="0" t="str">
        <f aca="false">INDEX(Catalogo_Servicios!$C$4:$C$24,MATCH(C198,Catalogo_Servicios!$A$4:$A$24,0))</f>
        <v>Declaración mensual de IVA (D-104)</v>
      </c>
      <c r="F198" s="15" t="n">
        <v>0.75</v>
      </c>
      <c r="G198" s="16" t="n">
        <f aca="false">Parametros!$B$4</f>
        <v>28681</v>
      </c>
      <c r="H198" s="15" t="n">
        <f aca="false">INDEX(Clientes!$E$4:$E$15,MATCH(B198,Clientes!$A$4:$A$15,0))</f>
        <v>1</v>
      </c>
      <c r="I198" s="16" t="n">
        <f aca="false">ROUND(F198*G198*H198,0)</f>
        <v>21511</v>
      </c>
    </row>
    <row r="199" customFormat="false" ht="15" hidden="false" customHeight="false" outlineLevel="0" collapsed="false">
      <c r="A199" s="14" t="n">
        <v>45474</v>
      </c>
      <c r="B199" s="6" t="s">
        <v>33</v>
      </c>
      <c r="C199" s="6" t="s">
        <v>65</v>
      </c>
      <c r="D199" s="0" t="str">
        <f aca="false">INDEX(Clientes!$B$4:$B$15,MATCH(B199,Clientes!$A$4:$A$15,0))</f>
        <v>Transportes Rápidos del Valle</v>
      </c>
      <c r="E199" s="0" t="str">
        <f aca="false">INDEX(Catalogo_Servicios!$C$4:$C$24,MATCH(C199,Catalogo_Servicios!$A$4:$A$24,0))</f>
        <v>Declaración mensual de IVA (D-104)</v>
      </c>
      <c r="F199" s="15" t="n">
        <v>0.75</v>
      </c>
      <c r="G199" s="16" t="n">
        <f aca="false">Parametros!$B$4</f>
        <v>28681</v>
      </c>
      <c r="H199" s="15" t="n">
        <f aca="false">INDEX(Clientes!$E$4:$E$15,MATCH(B199,Clientes!$A$4:$A$15,0))</f>
        <v>1</v>
      </c>
      <c r="I199" s="16" t="n">
        <f aca="false">ROUND(F199*G199*H199,0)</f>
        <v>21511</v>
      </c>
    </row>
    <row r="200" customFormat="false" ht="15" hidden="false" customHeight="false" outlineLevel="0" collapsed="false">
      <c r="A200" s="14" t="n">
        <v>45474</v>
      </c>
      <c r="B200" s="6" t="s">
        <v>33</v>
      </c>
      <c r="C200" s="6" t="s">
        <v>66</v>
      </c>
      <c r="D200" s="0" t="str">
        <f aca="false">INDEX(Clientes!$B$4:$B$15,MATCH(B200,Clientes!$A$4:$A$15,0))</f>
        <v>Transportes Rápidos del Valle</v>
      </c>
      <c r="E200" s="0" t="str">
        <f aca="false">INDEX(Catalogo_Servicios!$C$4:$C$24,MATCH(C200,Catalogo_Servicios!$A$4:$A$24,0))</f>
        <v>Declaración mensual de retenciones (D-103)</v>
      </c>
      <c r="F200" s="15" t="n">
        <v>0.25</v>
      </c>
      <c r="G200" s="16" t="n">
        <f aca="false">Parametros!$B$4</f>
        <v>28681</v>
      </c>
      <c r="H200" s="15" t="n">
        <f aca="false">INDEX(Clientes!$E$4:$E$15,MATCH(B200,Clientes!$A$4:$A$15,0))</f>
        <v>1</v>
      </c>
      <c r="I200" s="16" t="n">
        <f aca="false">ROUND(F200*G200*H200,0)</f>
        <v>7170</v>
      </c>
    </row>
    <row r="201" customFormat="false" ht="15" hidden="false" customHeight="false" outlineLevel="0" collapsed="false">
      <c r="A201" s="14" t="n">
        <v>45474</v>
      </c>
      <c r="B201" s="6" t="s">
        <v>33</v>
      </c>
      <c r="C201" s="6" t="s">
        <v>67</v>
      </c>
      <c r="D201" s="0" t="str">
        <f aca="false">INDEX(Clientes!$B$4:$B$15,MATCH(B201,Clientes!$A$4:$A$15,0))</f>
        <v>Transportes Rápidos del Valle</v>
      </c>
      <c r="E201" s="0" t="str">
        <f aca="false">INDEX(Catalogo_Servicios!$C$4:$C$24,MATCH(C201,Catalogo_Servicios!$A$4:$A$24,0))</f>
        <v>Cálculo de planillas y cargas sociales (CCSS/INS)</v>
      </c>
      <c r="F201" s="15" t="n">
        <v>6</v>
      </c>
      <c r="G201" s="16" t="n">
        <f aca="false">Parametros!$B$4</f>
        <v>28681</v>
      </c>
      <c r="H201" s="15" t="n">
        <f aca="false">INDEX(Clientes!$E$4:$E$15,MATCH(B201,Clientes!$A$4:$A$15,0))</f>
        <v>1</v>
      </c>
      <c r="I201" s="16" t="n">
        <f aca="false">ROUND(F201*G201*H201,0)</f>
        <v>172086</v>
      </c>
    </row>
    <row r="202" customFormat="false" ht="15" hidden="false" customHeight="false" outlineLevel="0" collapsed="false">
      <c r="A202" s="14" t="n">
        <v>45474</v>
      </c>
      <c r="B202" s="6" t="s">
        <v>34</v>
      </c>
      <c r="C202" s="6" t="s">
        <v>68</v>
      </c>
      <c r="D202" s="0" t="str">
        <f aca="false">INDEX(Clientes!$B$4:$B$15,MATCH(B202,Clientes!$A$4:$A$15,0))</f>
        <v>Boutique Luna Nueva</v>
      </c>
      <c r="E202" s="0" t="str">
        <f aca="false">INDEX(Catalogo_Servicios!$C$4:$C$24,MATCH(C202,Catalogo_Servicios!$A$4:$A$24,0))</f>
        <v>Asesoría contable, financiera y tributaria</v>
      </c>
      <c r="F202" s="15" t="n">
        <v>1</v>
      </c>
      <c r="G202" s="16" t="n">
        <f aca="false">Parametros!$B$4</f>
        <v>28681</v>
      </c>
      <c r="H202" s="15" t="n">
        <f aca="false">INDEX(Clientes!$E$4:$E$15,MATCH(B202,Clientes!$A$4:$A$15,0))</f>
        <v>1.15</v>
      </c>
      <c r="I202" s="16" t="n">
        <f aca="false">ROUND(F202*G202*H202,0)</f>
        <v>32983</v>
      </c>
    </row>
    <row r="203" customFormat="false" ht="15" hidden="false" customHeight="false" outlineLevel="0" collapsed="false">
      <c r="A203" s="14" t="n">
        <v>45474</v>
      </c>
      <c r="B203" s="6" t="s">
        <v>35</v>
      </c>
      <c r="C203" s="6" t="s">
        <v>65</v>
      </c>
      <c r="D203" s="0" t="str">
        <f aca="false">INDEX(Clientes!$B$4:$B$15,MATCH(B203,Clientes!$A$4:$A$15,0))</f>
        <v>Taller Mecánico Hermanos Mora</v>
      </c>
      <c r="E203" s="0" t="str">
        <f aca="false">INDEX(Catalogo_Servicios!$C$4:$C$24,MATCH(C203,Catalogo_Servicios!$A$4:$A$24,0))</f>
        <v>Declaración mensual de IVA (D-104)</v>
      </c>
      <c r="F203" s="15" t="n">
        <v>0.75</v>
      </c>
      <c r="G203" s="16" t="n">
        <f aca="false">Parametros!$B$4</f>
        <v>28681</v>
      </c>
      <c r="H203" s="15" t="n">
        <f aca="false">INDEX(Clientes!$E$4:$E$15,MATCH(B203,Clientes!$A$4:$A$15,0))</f>
        <v>1</v>
      </c>
      <c r="I203" s="16" t="n">
        <f aca="false">ROUND(F203*G203*H203,0)</f>
        <v>21511</v>
      </c>
    </row>
    <row r="204" customFormat="false" ht="15" hidden="false" customHeight="false" outlineLevel="0" collapsed="false">
      <c r="A204" s="14" t="n">
        <v>45474</v>
      </c>
      <c r="B204" s="6" t="s">
        <v>36</v>
      </c>
      <c r="C204" s="6" t="s">
        <v>65</v>
      </c>
      <c r="D204" s="0" t="str">
        <f aca="false">INDEX(Clientes!$B$4:$B$15,MATCH(B204,Clientes!$A$4:$A$15,0))</f>
        <v>Agroservicios Cartago</v>
      </c>
      <c r="E204" s="0" t="str">
        <f aca="false">INDEX(Catalogo_Servicios!$C$4:$C$24,MATCH(C204,Catalogo_Servicios!$A$4:$A$24,0))</f>
        <v>Declaración mensual de IVA (D-104)</v>
      </c>
      <c r="F204" s="15" t="n">
        <v>0.75</v>
      </c>
      <c r="G204" s="16" t="n">
        <f aca="false">Parametros!$B$4</f>
        <v>28681</v>
      </c>
      <c r="H204" s="15" t="n">
        <f aca="false">INDEX(Clientes!$E$4:$E$15,MATCH(B204,Clientes!$A$4:$A$15,0))</f>
        <v>1</v>
      </c>
      <c r="I204" s="16" t="n">
        <f aca="false">ROUND(F204*G204*H204,0)</f>
        <v>21511</v>
      </c>
    </row>
    <row r="205" customFormat="false" ht="15" hidden="false" customHeight="false" outlineLevel="0" collapsed="false">
      <c r="A205" s="14" t="n">
        <v>45474</v>
      </c>
      <c r="B205" s="6" t="s">
        <v>36</v>
      </c>
      <c r="C205" s="6" t="s">
        <v>66</v>
      </c>
      <c r="D205" s="0" t="str">
        <f aca="false">INDEX(Clientes!$B$4:$B$15,MATCH(B205,Clientes!$A$4:$A$15,0))</f>
        <v>Agroservicios Cartago</v>
      </c>
      <c r="E205" s="0" t="str">
        <f aca="false">INDEX(Catalogo_Servicios!$C$4:$C$24,MATCH(C205,Catalogo_Servicios!$A$4:$A$24,0))</f>
        <v>Declaración mensual de retenciones (D-103)</v>
      </c>
      <c r="F205" s="15" t="n">
        <v>0.25</v>
      </c>
      <c r="G205" s="16" t="n">
        <f aca="false">Parametros!$B$4</f>
        <v>28681</v>
      </c>
      <c r="H205" s="15" t="n">
        <f aca="false">INDEX(Clientes!$E$4:$E$15,MATCH(B205,Clientes!$A$4:$A$15,0))</f>
        <v>1</v>
      </c>
      <c r="I205" s="16" t="n">
        <f aca="false">ROUND(F205*G205*H205,0)</f>
        <v>7170</v>
      </c>
    </row>
    <row r="206" customFormat="false" ht="15" hidden="false" customHeight="false" outlineLevel="0" collapsed="false">
      <c r="A206" s="14" t="n">
        <v>45474</v>
      </c>
      <c r="B206" s="6" t="s">
        <v>38</v>
      </c>
      <c r="C206" s="6" t="s">
        <v>65</v>
      </c>
      <c r="D206" s="0" t="str">
        <f aca="false">INDEX(Clientes!$B$4:$B$15,MATCH(B206,Clientes!$A$4:$A$15,0))</f>
        <v>Panadería La Espiga</v>
      </c>
      <c r="E206" s="0" t="str">
        <f aca="false">INDEX(Catalogo_Servicios!$C$4:$C$24,MATCH(C206,Catalogo_Servicios!$A$4:$A$24,0))</f>
        <v>Declaración mensual de IVA (D-104)</v>
      </c>
      <c r="F206" s="15" t="n">
        <v>0.75</v>
      </c>
      <c r="G206" s="16" t="n">
        <f aca="false">Parametros!$B$4</f>
        <v>28681</v>
      </c>
      <c r="H206" s="15" t="n">
        <f aca="false">INDEX(Clientes!$E$4:$E$15,MATCH(B206,Clientes!$A$4:$A$15,0))</f>
        <v>1</v>
      </c>
      <c r="I206" s="16" t="n">
        <f aca="false">ROUND(F206*G206*H206,0)</f>
        <v>21511</v>
      </c>
    </row>
    <row r="207" customFormat="false" ht="15" hidden="false" customHeight="false" outlineLevel="0" collapsed="false">
      <c r="A207" s="14" t="n">
        <v>45474</v>
      </c>
      <c r="B207" s="6" t="s">
        <v>38</v>
      </c>
      <c r="C207" s="6" t="s">
        <v>67</v>
      </c>
      <c r="D207" s="0" t="str">
        <f aca="false">INDEX(Clientes!$B$4:$B$15,MATCH(B207,Clientes!$A$4:$A$15,0))</f>
        <v>Panadería La Espiga</v>
      </c>
      <c r="E207" s="0" t="str">
        <f aca="false">INDEX(Catalogo_Servicios!$C$4:$C$24,MATCH(C207,Catalogo_Servicios!$A$4:$A$24,0))</f>
        <v>Cálculo de planillas y cargas sociales (CCSS/INS)</v>
      </c>
      <c r="F207" s="15" t="n">
        <v>6.5</v>
      </c>
      <c r="G207" s="16" t="n">
        <f aca="false">Parametros!$B$4</f>
        <v>28681</v>
      </c>
      <c r="H207" s="15" t="n">
        <f aca="false">INDEX(Clientes!$E$4:$E$15,MATCH(B207,Clientes!$A$4:$A$15,0))</f>
        <v>1</v>
      </c>
      <c r="I207" s="16" t="n">
        <f aca="false">ROUND(F207*G207*H207,0)</f>
        <v>186427</v>
      </c>
    </row>
    <row r="208" customFormat="false" ht="15" hidden="false" customHeight="false" outlineLevel="0" collapsed="false">
      <c r="A208" s="14" t="n">
        <v>45505</v>
      </c>
      <c r="B208" s="6" t="s">
        <v>29</v>
      </c>
      <c r="C208" s="6" t="s">
        <v>64</v>
      </c>
      <c r="D208" s="0" t="str">
        <f aca="false">INDEX(Clientes!$B$4:$B$15,MATCH(B208,Clientes!$A$4:$A$15,0))</f>
        <v>Distribuidora Los Andes S.A.</v>
      </c>
      <c r="E208" s="0" t="str">
        <f aca="false">INDEX(Catalogo_Servicios!$C$4:$C$24,MATCH(C208,Catalogo_Servicios!$A$4:$A$24,0))</f>
        <v>Estados financieros mensuales</v>
      </c>
      <c r="F208" s="15" t="n">
        <v>3</v>
      </c>
      <c r="G208" s="16" t="n">
        <f aca="false">Parametros!$B$4</f>
        <v>28681</v>
      </c>
      <c r="H208" s="15" t="n">
        <f aca="false">INDEX(Clientes!$E$4:$E$15,MATCH(B208,Clientes!$A$4:$A$15,0))</f>
        <v>1</v>
      </c>
      <c r="I208" s="16" t="n">
        <f aca="false">ROUND(F208*G208*H208,0)</f>
        <v>86043</v>
      </c>
    </row>
    <row r="209" customFormat="false" ht="15" hidden="false" customHeight="false" outlineLevel="0" collapsed="false">
      <c r="A209" s="14" t="n">
        <v>45505</v>
      </c>
      <c r="B209" s="6" t="s">
        <v>29</v>
      </c>
      <c r="C209" s="6" t="s">
        <v>65</v>
      </c>
      <c r="D209" s="0" t="str">
        <f aca="false">INDEX(Clientes!$B$4:$B$15,MATCH(B209,Clientes!$A$4:$A$15,0))</f>
        <v>Distribuidora Los Andes S.A.</v>
      </c>
      <c r="E209" s="0" t="str">
        <f aca="false">INDEX(Catalogo_Servicios!$C$4:$C$24,MATCH(C209,Catalogo_Servicios!$A$4:$A$24,0))</f>
        <v>Declaración mensual de IVA (D-104)</v>
      </c>
      <c r="F209" s="15" t="n">
        <v>0.75</v>
      </c>
      <c r="G209" s="16" t="n">
        <f aca="false">Parametros!$B$4</f>
        <v>28681</v>
      </c>
      <c r="H209" s="15" t="n">
        <f aca="false">INDEX(Clientes!$E$4:$E$15,MATCH(B209,Clientes!$A$4:$A$15,0))</f>
        <v>1</v>
      </c>
      <c r="I209" s="16" t="n">
        <f aca="false">ROUND(F209*G209*H209,0)</f>
        <v>21511</v>
      </c>
    </row>
    <row r="210" customFormat="false" ht="15" hidden="false" customHeight="false" outlineLevel="0" collapsed="false">
      <c r="A210" s="14" t="n">
        <v>45505</v>
      </c>
      <c r="B210" s="6" t="s">
        <v>29</v>
      </c>
      <c r="C210" s="6" t="s">
        <v>66</v>
      </c>
      <c r="D210" s="0" t="str">
        <f aca="false">INDEX(Clientes!$B$4:$B$15,MATCH(B210,Clientes!$A$4:$A$15,0))</f>
        <v>Distribuidora Los Andes S.A.</v>
      </c>
      <c r="E210" s="0" t="str">
        <f aca="false">INDEX(Catalogo_Servicios!$C$4:$C$24,MATCH(C210,Catalogo_Servicios!$A$4:$A$24,0))</f>
        <v>Declaración mensual de retenciones (D-103)</v>
      </c>
      <c r="F210" s="15" t="n">
        <v>0.25</v>
      </c>
      <c r="G210" s="16" t="n">
        <f aca="false">Parametros!$B$4</f>
        <v>28681</v>
      </c>
      <c r="H210" s="15" t="n">
        <f aca="false">INDEX(Clientes!$E$4:$E$15,MATCH(B210,Clientes!$A$4:$A$15,0))</f>
        <v>1</v>
      </c>
      <c r="I210" s="16" t="n">
        <f aca="false">ROUND(F210*G210*H210,0)</f>
        <v>7170</v>
      </c>
    </row>
    <row r="211" customFormat="false" ht="15" hidden="false" customHeight="false" outlineLevel="0" collapsed="false">
      <c r="A211" s="14" t="n">
        <v>45505</v>
      </c>
      <c r="B211" s="6" t="s">
        <v>29</v>
      </c>
      <c r="C211" s="6" t="s">
        <v>67</v>
      </c>
      <c r="D211" s="0" t="str">
        <f aca="false">INDEX(Clientes!$B$4:$B$15,MATCH(B211,Clientes!$A$4:$A$15,0))</f>
        <v>Distribuidora Los Andes S.A.</v>
      </c>
      <c r="E211" s="0" t="str">
        <f aca="false">INDEX(Catalogo_Servicios!$C$4:$C$24,MATCH(C211,Catalogo_Servicios!$A$4:$A$24,0))</f>
        <v>Cálculo de planillas y cargas sociales (CCSS/INS)</v>
      </c>
      <c r="F211" s="15" t="n">
        <v>21.5</v>
      </c>
      <c r="G211" s="16" t="n">
        <f aca="false">Parametros!$B$4</f>
        <v>28681</v>
      </c>
      <c r="H211" s="15" t="n">
        <f aca="false">INDEX(Clientes!$E$4:$E$15,MATCH(B211,Clientes!$A$4:$A$15,0))</f>
        <v>1</v>
      </c>
      <c r="I211" s="16" t="n">
        <f aca="false">ROUND(F211*G211*H211,0)</f>
        <v>616642</v>
      </c>
    </row>
    <row r="212" customFormat="false" ht="15" hidden="false" customHeight="false" outlineLevel="0" collapsed="false">
      <c r="A212" s="14" t="n">
        <v>45505</v>
      </c>
      <c r="B212" s="6" t="s">
        <v>30</v>
      </c>
      <c r="C212" s="6" t="s">
        <v>64</v>
      </c>
      <c r="D212" s="0" t="str">
        <f aca="false">INDEX(Clientes!$B$4:$B$15,MATCH(B212,Clientes!$A$4:$A$15,0))</f>
        <v>Ferretería El Tornillo</v>
      </c>
      <c r="E212" s="0" t="str">
        <f aca="false">INDEX(Catalogo_Servicios!$C$4:$C$24,MATCH(C212,Catalogo_Servicios!$A$4:$A$24,0))</f>
        <v>Estados financieros mensuales</v>
      </c>
      <c r="F212" s="15" t="n">
        <v>3.25</v>
      </c>
      <c r="G212" s="16" t="n">
        <f aca="false">Parametros!$B$4</f>
        <v>28681</v>
      </c>
      <c r="H212" s="15" t="n">
        <f aca="false">INDEX(Clientes!$E$4:$E$15,MATCH(B212,Clientes!$A$4:$A$15,0))</f>
        <v>1</v>
      </c>
      <c r="I212" s="16" t="n">
        <f aca="false">ROUND(F212*G212*H212,0)</f>
        <v>93213</v>
      </c>
    </row>
    <row r="213" customFormat="false" ht="15" hidden="false" customHeight="false" outlineLevel="0" collapsed="false">
      <c r="A213" s="14" t="n">
        <v>45505</v>
      </c>
      <c r="B213" s="6" t="s">
        <v>30</v>
      </c>
      <c r="C213" s="6" t="s">
        <v>65</v>
      </c>
      <c r="D213" s="0" t="str">
        <f aca="false">INDEX(Clientes!$B$4:$B$15,MATCH(B213,Clientes!$A$4:$A$15,0))</f>
        <v>Ferretería El Tornillo</v>
      </c>
      <c r="E213" s="0" t="str">
        <f aca="false">INDEX(Catalogo_Servicios!$C$4:$C$24,MATCH(C213,Catalogo_Servicios!$A$4:$A$24,0))</f>
        <v>Declaración mensual de IVA (D-104)</v>
      </c>
      <c r="F213" s="15" t="n">
        <v>0.75</v>
      </c>
      <c r="G213" s="16" t="n">
        <f aca="false">Parametros!$B$4</f>
        <v>28681</v>
      </c>
      <c r="H213" s="15" t="n">
        <f aca="false">INDEX(Clientes!$E$4:$E$15,MATCH(B213,Clientes!$A$4:$A$15,0))</f>
        <v>1</v>
      </c>
      <c r="I213" s="16" t="n">
        <f aca="false">ROUND(F213*G213*H213,0)</f>
        <v>21511</v>
      </c>
    </row>
    <row r="214" customFormat="false" ht="15" hidden="false" customHeight="false" outlineLevel="0" collapsed="false">
      <c r="A214" s="14" t="n">
        <v>45505</v>
      </c>
      <c r="B214" s="6" t="s">
        <v>30</v>
      </c>
      <c r="C214" s="6" t="s">
        <v>66</v>
      </c>
      <c r="D214" s="0" t="str">
        <f aca="false">INDEX(Clientes!$B$4:$B$15,MATCH(B214,Clientes!$A$4:$A$15,0))</f>
        <v>Ferretería El Tornillo</v>
      </c>
      <c r="E214" s="0" t="str">
        <f aca="false">INDEX(Catalogo_Servicios!$C$4:$C$24,MATCH(C214,Catalogo_Servicios!$A$4:$A$24,0))</f>
        <v>Declaración mensual de retenciones (D-103)</v>
      </c>
      <c r="F214" s="15" t="n">
        <v>0.25</v>
      </c>
      <c r="G214" s="16" t="n">
        <f aca="false">Parametros!$B$4</f>
        <v>28681</v>
      </c>
      <c r="H214" s="15" t="n">
        <f aca="false">INDEX(Clientes!$E$4:$E$15,MATCH(B214,Clientes!$A$4:$A$15,0))</f>
        <v>1</v>
      </c>
      <c r="I214" s="16" t="n">
        <f aca="false">ROUND(F214*G214*H214,0)</f>
        <v>7170</v>
      </c>
    </row>
    <row r="215" customFormat="false" ht="15" hidden="false" customHeight="false" outlineLevel="0" collapsed="false">
      <c r="A215" s="14" t="n">
        <v>45505</v>
      </c>
      <c r="B215" s="6" t="s">
        <v>31</v>
      </c>
      <c r="C215" s="6" t="s">
        <v>65</v>
      </c>
      <c r="D215" s="0" t="str">
        <f aca="false">INDEX(Clientes!$B$4:$B$15,MATCH(B215,Clientes!$A$4:$A$15,0))</f>
        <v>Clínica Dental Sonrisa</v>
      </c>
      <c r="E215" s="0" t="str">
        <f aca="false">INDEX(Catalogo_Servicios!$C$4:$C$24,MATCH(C215,Catalogo_Servicios!$A$4:$A$24,0))</f>
        <v>Declaración mensual de IVA (D-104)</v>
      </c>
      <c r="F215" s="15" t="n">
        <v>0.75</v>
      </c>
      <c r="G215" s="16" t="n">
        <f aca="false">Parametros!$B$4</f>
        <v>28681</v>
      </c>
      <c r="H215" s="15" t="n">
        <f aca="false">INDEX(Clientes!$E$4:$E$15,MATCH(B215,Clientes!$A$4:$A$15,0))</f>
        <v>1.1</v>
      </c>
      <c r="I215" s="16" t="n">
        <f aca="false">ROUND(F215*G215*H215,0)</f>
        <v>23662</v>
      </c>
    </row>
    <row r="216" customFormat="false" ht="15" hidden="false" customHeight="false" outlineLevel="0" collapsed="false">
      <c r="A216" s="14" t="n">
        <v>45505</v>
      </c>
      <c r="B216" s="6" t="s">
        <v>32</v>
      </c>
      <c r="C216" s="6" t="s">
        <v>65</v>
      </c>
      <c r="D216" s="0" t="str">
        <f aca="false">INDEX(Clientes!$B$4:$B$15,MATCH(B216,Clientes!$A$4:$A$15,0))</f>
        <v>Soda y Restaurante Doña Lela</v>
      </c>
      <c r="E216" s="0" t="str">
        <f aca="false">INDEX(Catalogo_Servicios!$C$4:$C$24,MATCH(C216,Catalogo_Servicios!$A$4:$A$24,0))</f>
        <v>Declaración mensual de IVA (D-104)</v>
      </c>
      <c r="F216" s="15" t="n">
        <v>0.75</v>
      </c>
      <c r="G216" s="16" t="n">
        <f aca="false">Parametros!$B$4</f>
        <v>28681</v>
      </c>
      <c r="H216" s="15" t="n">
        <f aca="false">INDEX(Clientes!$E$4:$E$15,MATCH(B216,Clientes!$A$4:$A$15,0))</f>
        <v>1</v>
      </c>
      <c r="I216" s="16" t="n">
        <f aca="false">ROUND(F216*G216*H216,0)</f>
        <v>21511</v>
      </c>
    </row>
    <row r="217" customFormat="false" ht="15" hidden="false" customHeight="false" outlineLevel="0" collapsed="false">
      <c r="A217" s="14" t="n">
        <v>45505</v>
      </c>
      <c r="B217" s="6" t="s">
        <v>33</v>
      </c>
      <c r="C217" s="6" t="s">
        <v>65</v>
      </c>
      <c r="D217" s="0" t="str">
        <f aca="false">INDEX(Clientes!$B$4:$B$15,MATCH(B217,Clientes!$A$4:$A$15,0))</f>
        <v>Transportes Rápidos del Valle</v>
      </c>
      <c r="E217" s="0" t="str">
        <f aca="false">INDEX(Catalogo_Servicios!$C$4:$C$24,MATCH(C217,Catalogo_Servicios!$A$4:$A$24,0))</f>
        <v>Declaración mensual de IVA (D-104)</v>
      </c>
      <c r="F217" s="15" t="n">
        <v>0.75</v>
      </c>
      <c r="G217" s="16" t="n">
        <f aca="false">Parametros!$B$4</f>
        <v>28681</v>
      </c>
      <c r="H217" s="15" t="n">
        <f aca="false">INDEX(Clientes!$E$4:$E$15,MATCH(B217,Clientes!$A$4:$A$15,0))</f>
        <v>1</v>
      </c>
      <c r="I217" s="16" t="n">
        <f aca="false">ROUND(F217*G217*H217,0)</f>
        <v>21511</v>
      </c>
    </row>
    <row r="218" customFormat="false" ht="15" hidden="false" customHeight="false" outlineLevel="0" collapsed="false">
      <c r="A218" s="14" t="n">
        <v>45505</v>
      </c>
      <c r="B218" s="6" t="s">
        <v>33</v>
      </c>
      <c r="C218" s="6" t="s">
        <v>66</v>
      </c>
      <c r="D218" s="0" t="str">
        <f aca="false">INDEX(Clientes!$B$4:$B$15,MATCH(B218,Clientes!$A$4:$A$15,0))</f>
        <v>Transportes Rápidos del Valle</v>
      </c>
      <c r="E218" s="0" t="str">
        <f aca="false">INDEX(Catalogo_Servicios!$C$4:$C$24,MATCH(C218,Catalogo_Servicios!$A$4:$A$24,0))</f>
        <v>Declaración mensual de retenciones (D-103)</v>
      </c>
      <c r="F218" s="15" t="n">
        <v>0.25</v>
      </c>
      <c r="G218" s="16" t="n">
        <f aca="false">Parametros!$B$4</f>
        <v>28681</v>
      </c>
      <c r="H218" s="15" t="n">
        <f aca="false">INDEX(Clientes!$E$4:$E$15,MATCH(B218,Clientes!$A$4:$A$15,0))</f>
        <v>1</v>
      </c>
      <c r="I218" s="16" t="n">
        <f aca="false">ROUND(F218*G218*H218,0)</f>
        <v>7170</v>
      </c>
    </row>
    <row r="219" customFormat="false" ht="15" hidden="false" customHeight="false" outlineLevel="0" collapsed="false">
      <c r="A219" s="14" t="n">
        <v>45505</v>
      </c>
      <c r="B219" s="6" t="s">
        <v>33</v>
      </c>
      <c r="C219" s="6" t="s">
        <v>67</v>
      </c>
      <c r="D219" s="0" t="str">
        <f aca="false">INDEX(Clientes!$B$4:$B$15,MATCH(B219,Clientes!$A$4:$A$15,0))</f>
        <v>Transportes Rápidos del Valle</v>
      </c>
      <c r="E219" s="0" t="str">
        <f aca="false">INDEX(Catalogo_Servicios!$C$4:$C$24,MATCH(C219,Catalogo_Servicios!$A$4:$A$24,0))</f>
        <v>Cálculo de planillas y cargas sociales (CCSS/INS)</v>
      </c>
      <c r="F219" s="15" t="n">
        <v>5.5</v>
      </c>
      <c r="G219" s="16" t="n">
        <f aca="false">Parametros!$B$4</f>
        <v>28681</v>
      </c>
      <c r="H219" s="15" t="n">
        <f aca="false">INDEX(Clientes!$E$4:$E$15,MATCH(B219,Clientes!$A$4:$A$15,0))</f>
        <v>1</v>
      </c>
      <c r="I219" s="16" t="n">
        <f aca="false">ROUND(F219*G219*H219,0)</f>
        <v>157746</v>
      </c>
    </row>
    <row r="220" customFormat="false" ht="15" hidden="false" customHeight="false" outlineLevel="0" collapsed="false">
      <c r="A220" s="14" t="n">
        <v>45505</v>
      </c>
      <c r="B220" s="6" t="s">
        <v>35</v>
      </c>
      <c r="C220" s="6" t="s">
        <v>65</v>
      </c>
      <c r="D220" s="0" t="str">
        <f aca="false">INDEX(Clientes!$B$4:$B$15,MATCH(B220,Clientes!$A$4:$A$15,0))</f>
        <v>Taller Mecánico Hermanos Mora</v>
      </c>
      <c r="E220" s="0" t="str">
        <f aca="false">INDEX(Catalogo_Servicios!$C$4:$C$24,MATCH(C220,Catalogo_Servicios!$A$4:$A$24,0))</f>
        <v>Declaración mensual de IVA (D-104)</v>
      </c>
      <c r="F220" s="15" t="n">
        <v>0.75</v>
      </c>
      <c r="G220" s="16" t="n">
        <f aca="false">Parametros!$B$4</f>
        <v>28681</v>
      </c>
      <c r="H220" s="15" t="n">
        <f aca="false">INDEX(Clientes!$E$4:$E$15,MATCH(B220,Clientes!$A$4:$A$15,0))</f>
        <v>1</v>
      </c>
      <c r="I220" s="16" t="n">
        <f aca="false">ROUND(F220*G220*H220,0)</f>
        <v>21511</v>
      </c>
    </row>
    <row r="221" customFormat="false" ht="15" hidden="false" customHeight="false" outlineLevel="0" collapsed="false">
      <c r="A221" s="14" t="n">
        <v>45505</v>
      </c>
      <c r="B221" s="6" t="s">
        <v>36</v>
      </c>
      <c r="C221" s="6" t="s">
        <v>65</v>
      </c>
      <c r="D221" s="0" t="str">
        <f aca="false">INDEX(Clientes!$B$4:$B$15,MATCH(B221,Clientes!$A$4:$A$15,0))</f>
        <v>Agroservicios Cartago</v>
      </c>
      <c r="E221" s="0" t="str">
        <f aca="false">INDEX(Catalogo_Servicios!$C$4:$C$24,MATCH(C221,Catalogo_Servicios!$A$4:$A$24,0))</f>
        <v>Declaración mensual de IVA (D-104)</v>
      </c>
      <c r="F221" s="15" t="n">
        <v>0.75</v>
      </c>
      <c r="G221" s="16" t="n">
        <f aca="false">Parametros!$B$4</f>
        <v>28681</v>
      </c>
      <c r="H221" s="15" t="n">
        <f aca="false">INDEX(Clientes!$E$4:$E$15,MATCH(B221,Clientes!$A$4:$A$15,0))</f>
        <v>1</v>
      </c>
      <c r="I221" s="16" t="n">
        <f aca="false">ROUND(F221*G221*H221,0)</f>
        <v>21511</v>
      </c>
    </row>
    <row r="222" customFormat="false" ht="15" hidden="false" customHeight="false" outlineLevel="0" collapsed="false">
      <c r="A222" s="14" t="n">
        <v>45505</v>
      </c>
      <c r="B222" s="6" t="s">
        <v>36</v>
      </c>
      <c r="C222" s="6" t="s">
        <v>66</v>
      </c>
      <c r="D222" s="0" t="str">
        <f aca="false">INDEX(Clientes!$B$4:$B$15,MATCH(B222,Clientes!$A$4:$A$15,0))</f>
        <v>Agroservicios Cartago</v>
      </c>
      <c r="E222" s="0" t="str">
        <f aca="false">INDEX(Catalogo_Servicios!$C$4:$C$24,MATCH(C222,Catalogo_Servicios!$A$4:$A$24,0))</f>
        <v>Declaración mensual de retenciones (D-103)</v>
      </c>
      <c r="F222" s="15" t="n">
        <v>0.25</v>
      </c>
      <c r="G222" s="16" t="n">
        <f aca="false">Parametros!$B$4</f>
        <v>28681</v>
      </c>
      <c r="H222" s="15" t="n">
        <f aca="false">INDEX(Clientes!$E$4:$E$15,MATCH(B222,Clientes!$A$4:$A$15,0))</f>
        <v>1</v>
      </c>
      <c r="I222" s="16" t="n">
        <f aca="false">ROUND(F222*G222*H222,0)</f>
        <v>7170</v>
      </c>
    </row>
    <row r="223" customFormat="false" ht="15" hidden="false" customHeight="false" outlineLevel="0" collapsed="false">
      <c r="A223" s="14" t="n">
        <v>45505</v>
      </c>
      <c r="B223" s="6" t="s">
        <v>38</v>
      </c>
      <c r="C223" s="6" t="s">
        <v>65</v>
      </c>
      <c r="D223" s="0" t="str">
        <f aca="false">INDEX(Clientes!$B$4:$B$15,MATCH(B223,Clientes!$A$4:$A$15,0))</f>
        <v>Panadería La Espiga</v>
      </c>
      <c r="E223" s="0" t="str">
        <f aca="false">INDEX(Catalogo_Servicios!$C$4:$C$24,MATCH(C223,Catalogo_Servicios!$A$4:$A$24,0))</f>
        <v>Declaración mensual de IVA (D-104)</v>
      </c>
      <c r="F223" s="15" t="n">
        <v>0.75</v>
      </c>
      <c r="G223" s="16" t="n">
        <f aca="false">Parametros!$B$4</f>
        <v>28681</v>
      </c>
      <c r="H223" s="15" t="n">
        <f aca="false">INDEX(Clientes!$E$4:$E$15,MATCH(B223,Clientes!$A$4:$A$15,0))</f>
        <v>1</v>
      </c>
      <c r="I223" s="16" t="n">
        <f aca="false">ROUND(F223*G223*H223,0)</f>
        <v>21511</v>
      </c>
    </row>
    <row r="224" customFormat="false" ht="15" hidden="false" customHeight="false" outlineLevel="0" collapsed="false">
      <c r="A224" s="14" t="n">
        <v>45505</v>
      </c>
      <c r="B224" s="6" t="s">
        <v>38</v>
      </c>
      <c r="C224" s="6" t="s">
        <v>67</v>
      </c>
      <c r="D224" s="0" t="str">
        <f aca="false">INDEX(Clientes!$B$4:$B$15,MATCH(B224,Clientes!$A$4:$A$15,0))</f>
        <v>Panadería La Espiga</v>
      </c>
      <c r="E224" s="0" t="str">
        <f aca="false">INDEX(Catalogo_Servicios!$C$4:$C$24,MATCH(C224,Catalogo_Servicios!$A$4:$A$24,0))</f>
        <v>Cálculo de planillas y cargas sociales (CCSS/INS)</v>
      </c>
      <c r="F224" s="15" t="n">
        <v>6.5</v>
      </c>
      <c r="G224" s="16" t="n">
        <f aca="false">Parametros!$B$4</f>
        <v>28681</v>
      </c>
      <c r="H224" s="15" t="n">
        <f aca="false">INDEX(Clientes!$E$4:$E$15,MATCH(B224,Clientes!$A$4:$A$15,0))</f>
        <v>1</v>
      </c>
      <c r="I224" s="16" t="n">
        <f aca="false">ROUND(F224*G224*H224,0)</f>
        <v>186427</v>
      </c>
    </row>
    <row r="225" customFormat="false" ht="15" hidden="false" customHeight="false" outlineLevel="0" collapsed="false">
      <c r="A225" s="14" t="n">
        <v>45536</v>
      </c>
      <c r="B225" s="6" t="s">
        <v>29</v>
      </c>
      <c r="C225" s="6" t="s">
        <v>64</v>
      </c>
      <c r="D225" s="0" t="str">
        <f aca="false">INDEX(Clientes!$B$4:$B$15,MATCH(B225,Clientes!$A$4:$A$15,0))</f>
        <v>Distribuidora Los Andes S.A.</v>
      </c>
      <c r="E225" s="0" t="str">
        <f aca="false">INDEX(Catalogo_Servicios!$C$4:$C$24,MATCH(C225,Catalogo_Servicios!$A$4:$A$24,0))</f>
        <v>Estados financieros mensuales</v>
      </c>
      <c r="F225" s="15" t="n">
        <v>3</v>
      </c>
      <c r="G225" s="16" t="n">
        <f aca="false">Parametros!$B$4</f>
        <v>28681</v>
      </c>
      <c r="H225" s="15" t="n">
        <f aca="false">INDEX(Clientes!$E$4:$E$15,MATCH(B225,Clientes!$A$4:$A$15,0))</f>
        <v>1</v>
      </c>
      <c r="I225" s="16" t="n">
        <f aca="false">ROUND(F225*G225*H225,0)</f>
        <v>86043</v>
      </c>
    </row>
    <row r="226" customFormat="false" ht="15" hidden="false" customHeight="false" outlineLevel="0" collapsed="false">
      <c r="A226" s="14" t="n">
        <v>45536</v>
      </c>
      <c r="B226" s="6" t="s">
        <v>29</v>
      </c>
      <c r="C226" s="6" t="s">
        <v>65</v>
      </c>
      <c r="D226" s="0" t="str">
        <f aca="false">INDEX(Clientes!$B$4:$B$15,MATCH(B226,Clientes!$A$4:$A$15,0))</f>
        <v>Distribuidora Los Andes S.A.</v>
      </c>
      <c r="E226" s="0" t="str">
        <f aca="false">INDEX(Catalogo_Servicios!$C$4:$C$24,MATCH(C226,Catalogo_Servicios!$A$4:$A$24,0))</f>
        <v>Declaración mensual de IVA (D-104)</v>
      </c>
      <c r="F226" s="15" t="n">
        <v>0.75</v>
      </c>
      <c r="G226" s="16" t="n">
        <f aca="false">Parametros!$B$4</f>
        <v>28681</v>
      </c>
      <c r="H226" s="15" t="n">
        <f aca="false">INDEX(Clientes!$E$4:$E$15,MATCH(B226,Clientes!$A$4:$A$15,0))</f>
        <v>1</v>
      </c>
      <c r="I226" s="16" t="n">
        <f aca="false">ROUND(F226*G226*H226,0)</f>
        <v>21511</v>
      </c>
    </row>
    <row r="227" customFormat="false" ht="15" hidden="false" customHeight="false" outlineLevel="0" collapsed="false">
      <c r="A227" s="14" t="n">
        <v>45536</v>
      </c>
      <c r="B227" s="6" t="s">
        <v>29</v>
      </c>
      <c r="C227" s="6" t="s">
        <v>66</v>
      </c>
      <c r="D227" s="0" t="str">
        <f aca="false">INDEX(Clientes!$B$4:$B$15,MATCH(B227,Clientes!$A$4:$A$15,0))</f>
        <v>Distribuidora Los Andes S.A.</v>
      </c>
      <c r="E227" s="0" t="str">
        <f aca="false">INDEX(Catalogo_Servicios!$C$4:$C$24,MATCH(C227,Catalogo_Servicios!$A$4:$A$24,0))</f>
        <v>Declaración mensual de retenciones (D-103)</v>
      </c>
      <c r="F227" s="15" t="n">
        <v>0.25</v>
      </c>
      <c r="G227" s="16" t="n">
        <f aca="false">Parametros!$B$4</f>
        <v>28681</v>
      </c>
      <c r="H227" s="15" t="n">
        <f aca="false">INDEX(Clientes!$E$4:$E$15,MATCH(B227,Clientes!$A$4:$A$15,0))</f>
        <v>1</v>
      </c>
      <c r="I227" s="16" t="n">
        <f aca="false">ROUND(F227*G227*H227,0)</f>
        <v>7170</v>
      </c>
    </row>
    <row r="228" customFormat="false" ht="15" hidden="false" customHeight="false" outlineLevel="0" collapsed="false">
      <c r="A228" s="14" t="n">
        <v>45536</v>
      </c>
      <c r="B228" s="6" t="s">
        <v>29</v>
      </c>
      <c r="C228" s="6" t="s">
        <v>67</v>
      </c>
      <c r="D228" s="0" t="str">
        <f aca="false">INDEX(Clientes!$B$4:$B$15,MATCH(B228,Clientes!$A$4:$A$15,0))</f>
        <v>Distribuidora Los Andes S.A.</v>
      </c>
      <c r="E228" s="0" t="str">
        <f aca="false">INDEX(Catalogo_Servicios!$C$4:$C$24,MATCH(C228,Catalogo_Servicios!$A$4:$A$24,0))</f>
        <v>Cálculo de planillas y cargas sociales (CCSS/INS)</v>
      </c>
      <c r="F228" s="15" t="n">
        <v>20</v>
      </c>
      <c r="G228" s="16" t="n">
        <f aca="false">Parametros!$B$4</f>
        <v>28681</v>
      </c>
      <c r="H228" s="15" t="n">
        <f aca="false">INDEX(Clientes!$E$4:$E$15,MATCH(B228,Clientes!$A$4:$A$15,0))</f>
        <v>1</v>
      </c>
      <c r="I228" s="16" t="n">
        <f aca="false">ROUND(F228*G228*H228,0)</f>
        <v>573620</v>
      </c>
    </row>
    <row r="229" customFormat="false" ht="15" hidden="false" customHeight="false" outlineLevel="0" collapsed="false">
      <c r="A229" s="14" t="n">
        <v>45536</v>
      </c>
      <c r="B229" s="6" t="s">
        <v>30</v>
      </c>
      <c r="C229" s="6" t="s">
        <v>64</v>
      </c>
      <c r="D229" s="0" t="str">
        <f aca="false">INDEX(Clientes!$B$4:$B$15,MATCH(B229,Clientes!$A$4:$A$15,0))</f>
        <v>Ferretería El Tornillo</v>
      </c>
      <c r="E229" s="0" t="str">
        <f aca="false">INDEX(Catalogo_Servicios!$C$4:$C$24,MATCH(C229,Catalogo_Servicios!$A$4:$A$24,0))</f>
        <v>Estados financieros mensuales</v>
      </c>
      <c r="F229" s="15" t="n">
        <v>3</v>
      </c>
      <c r="G229" s="16" t="n">
        <f aca="false">Parametros!$B$4</f>
        <v>28681</v>
      </c>
      <c r="H229" s="15" t="n">
        <f aca="false">INDEX(Clientes!$E$4:$E$15,MATCH(B229,Clientes!$A$4:$A$15,0))</f>
        <v>1</v>
      </c>
      <c r="I229" s="16" t="n">
        <f aca="false">ROUND(F229*G229*H229,0)</f>
        <v>86043</v>
      </c>
    </row>
    <row r="230" customFormat="false" ht="15" hidden="false" customHeight="false" outlineLevel="0" collapsed="false">
      <c r="A230" s="14" t="n">
        <v>45536</v>
      </c>
      <c r="B230" s="6" t="s">
        <v>30</v>
      </c>
      <c r="C230" s="6" t="s">
        <v>65</v>
      </c>
      <c r="D230" s="0" t="str">
        <f aca="false">INDEX(Clientes!$B$4:$B$15,MATCH(B230,Clientes!$A$4:$A$15,0))</f>
        <v>Ferretería El Tornillo</v>
      </c>
      <c r="E230" s="0" t="str">
        <f aca="false">INDEX(Catalogo_Servicios!$C$4:$C$24,MATCH(C230,Catalogo_Servicios!$A$4:$A$24,0))</f>
        <v>Declaración mensual de IVA (D-104)</v>
      </c>
      <c r="F230" s="15" t="n">
        <v>0.75</v>
      </c>
      <c r="G230" s="16" t="n">
        <f aca="false">Parametros!$B$4</f>
        <v>28681</v>
      </c>
      <c r="H230" s="15" t="n">
        <f aca="false">INDEX(Clientes!$E$4:$E$15,MATCH(B230,Clientes!$A$4:$A$15,0))</f>
        <v>1</v>
      </c>
      <c r="I230" s="16" t="n">
        <f aca="false">ROUND(F230*G230*H230,0)</f>
        <v>21511</v>
      </c>
    </row>
    <row r="231" customFormat="false" ht="15" hidden="false" customHeight="false" outlineLevel="0" collapsed="false">
      <c r="A231" s="14" t="n">
        <v>45536</v>
      </c>
      <c r="B231" s="6" t="s">
        <v>30</v>
      </c>
      <c r="C231" s="6" t="s">
        <v>66</v>
      </c>
      <c r="D231" s="0" t="str">
        <f aca="false">INDEX(Clientes!$B$4:$B$15,MATCH(B231,Clientes!$A$4:$A$15,0))</f>
        <v>Ferretería El Tornillo</v>
      </c>
      <c r="E231" s="0" t="str">
        <f aca="false">INDEX(Catalogo_Servicios!$C$4:$C$24,MATCH(C231,Catalogo_Servicios!$A$4:$A$24,0))</f>
        <v>Declaración mensual de retenciones (D-103)</v>
      </c>
      <c r="F231" s="15" t="n">
        <v>0.25</v>
      </c>
      <c r="G231" s="16" t="n">
        <f aca="false">Parametros!$B$4</f>
        <v>28681</v>
      </c>
      <c r="H231" s="15" t="n">
        <f aca="false">INDEX(Clientes!$E$4:$E$15,MATCH(B231,Clientes!$A$4:$A$15,0))</f>
        <v>1</v>
      </c>
      <c r="I231" s="16" t="n">
        <f aca="false">ROUND(F231*G231*H231,0)</f>
        <v>7170</v>
      </c>
    </row>
    <row r="232" customFormat="false" ht="15" hidden="false" customHeight="false" outlineLevel="0" collapsed="false">
      <c r="A232" s="14" t="n">
        <v>45536</v>
      </c>
      <c r="B232" s="6" t="s">
        <v>31</v>
      </c>
      <c r="C232" s="6" t="s">
        <v>65</v>
      </c>
      <c r="D232" s="0" t="str">
        <f aca="false">INDEX(Clientes!$B$4:$B$15,MATCH(B232,Clientes!$A$4:$A$15,0))</f>
        <v>Clínica Dental Sonrisa</v>
      </c>
      <c r="E232" s="0" t="str">
        <f aca="false">INDEX(Catalogo_Servicios!$C$4:$C$24,MATCH(C232,Catalogo_Servicios!$A$4:$A$24,0))</f>
        <v>Declaración mensual de IVA (D-104)</v>
      </c>
      <c r="F232" s="15" t="n">
        <v>0.75</v>
      </c>
      <c r="G232" s="16" t="n">
        <f aca="false">Parametros!$B$4</f>
        <v>28681</v>
      </c>
      <c r="H232" s="15" t="n">
        <f aca="false">INDEX(Clientes!$E$4:$E$15,MATCH(B232,Clientes!$A$4:$A$15,0))</f>
        <v>1.1</v>
      </c>
      <c r="I232" s="16" t="n">
        <f aca="false">ROUND(F232*G232*H232,0)</f>
        <v>23662</v>
      </c>
    </row>
    <row r="233" customFormat="false" ht="15" hidden="false" customHeight="false" outlineLevel="0" collapsed="false">
      <c r="A233" s="14" t="n">
        <v>45536</v>
      </c>
      <c r="B233" s="6" t="s">
        <v>32</v>
      </c>
      <c r="C233" s="6" t="s">
        <v>65</v>
      </c>
      <c r="D233" s="0" t="str">
        <f aca="false">INDEX(Clientes!$B$4:$B$15,MATCH(B233,Clientes!$A$4:$A$15,0))</f>
        <v>Soda y Restaurante Doña Lela</v>
      </c>
      <c r="E233" s="0" t="str">
        <f aca="false">INDEX(Catalogo_Servicios!$C$4:$C$24,MATCH(C233,Catalogo_Servicios!$A$4:$A$24,0))</f>
        <v>Declaración mensual de IVA (D-104)</v>
      </c>
      <c r="F233" s="15" t="n">
        <v>0.75</v>
      </c>
      <c r="G233" s="16" t="n">
        <f aca="false">Parametros!$B$4</f>
        <v>28681</v>
      </c>
      <c r="H233" s="15" t="n">
        <f aca="false">INDEX(Clientes!$E$4:$E$15,MATCH(B233,Clientes!$A$4:$A$15,0))</f>
        <v>1</v>
      </c>
      <c r="I233" s="16" t="n">
        <f aca="false">ROUND(F233*G233*H233,0)</f>
        <v>21511</v>
      </c>
    </row>
    <row r="234" customFormat="false" ht="15" hidden="false" customHeight="false" outlineLevel="0" collapsed="false">
      <c r="A234" s="14" t="n">
        <v>45536</v>
      </c>
      <c r="B234" s="6" t="s">
        <v>33</v>
      </c>
      <c r="C234" s="6" t="s">
        <v>65</v>
      </c>
      <c r="D234" s="0" t="str">
        <f aca="false">INDEX(Clientes!$B$4:$B$15,MATCH(B234,Clientes!$A$4:$A$15,0))</f>
        <v>Transportes Rápidos del Valle</v>
      </c>
      <c r="E234" s="0" t="str">
        <f aca="false">INDEX(Catalogo_Servicios!$C$4:$C$24,MATCH(C234,Catalogo_Servicios!$A$4:$A$24,0))</f>
        <v>Declaración mensual de IVA (D-104)</v>
      </c>
      <c r="F234" s="15" t="n">
        <v>0.75</v>
      </c>
      <c r="G234" s="16" t="n">
        <f aca="false">Parametros!$B$4</f>
        <v>28681</v>
      </c>
      <c r="H234" s="15" t="n">
        <f aca="false">INDEX(Clientes!$E$4:$E$15,MATCH(B234,Clientes!$A$4:$A$15,0))</f>
        <v>1</v>
      </c>
      <c r="I234" s="16" t="n">
        <f aca="false">ROUND(F234*G234*H234,0)</f>
        <v>21511</v>
      </c>
    </row>
    <row r="235" customFormat="false" ht="15" hidden="false" customHeight="false" outlineLevel="0" collapsed="false">
      <c r="A235" s="14" t="n">
        <v>45536</v>
      </c>
      <c r="B235" s="6" t="s">
        <v>33</v>
      </c>
      <c r="C235" s="6" t="s">
        <v>66</v>
      </c>
      <c r="D235" s="0" t="str">
        <f aca="false">INDEX(Clientes!$B$4:$B$15,MATCH(B235,Clientes!$A$4:$A$15,0))</f>
        <v>Transportes Rápidos del Valle</v>
      </c>
      <c r="E235" s="0" t="str">
        <f aca="false">INDEX(Catalogo_Servicios!$C$4:$C$24,MATCH(C235,Catalogo_Servicios!$A$4:$A$24,0))</f>
        <v>Declaración mensual de retenciones (D-103)</v>
      </c>
      <c r="F235" s="15" t="n">
        <v>0.25</v>
      </c>
      <c r="G235" s="16" t="n">
        <f aca="false">Parametros!$B$4</f>
        <v>28681</v>
      </c>
      <c r="H235" s="15" t="n">
        <f aca="false">INDEX(Clientes!$E$4:$E$15,MATCH(B235,Clientes!$A$4:$A$15,0))</f>
        <v>1</v>
      </c>
      <c r="I235" s="16" t="n">
        <f aca="false">ROUND(F235*G235*H235,0)</f>
        <v>7170</v>
      </c>
    </row>
    <row r="236" customFormat="false" ht="15" hidden="false" customHeight="false" outlineLevel="0" collapsed="false">
      <c r="A236" s="14" t="n">
        <v>45536</v>
      </c>
      <c r="B236" s="6" t="s">
        <v>33</v>
      </c>
      <c r="C236" s="6" t="s">
        <v>67</v>
      </c>
      <c r="D236" s="0" t="str">
        <f aca="false">INDEX(Clientes!$B$4:$B$15,MATCH(B236,Clientes!$A$4:$A$15,0))</f>
        <v>Transportes Rápidos del Valle</v>
      </c>
      <c r="E236" s="0" t="str">
        <f aca="false">INDEX(Catalogo_Servicios!$C$4:$C$24,MATCH(C236,Catalogo_Servicios!$A$4:$A$24,0))</f>
        <v>Cálculo de planillas y cargas sociales (CCSS/INS)</v>
      </c>
      <c r="F236" s="15" t="n">
        <v>5.5</v>
      </c>
      <c r="G236" s="16" t="n">
        <f aca="false">Parametros!$B$4</f>
        <v>28681</v>
      </c>
      <c r="H236" s="15" t="n">
        <f aca="false">INDEX(Clientes!$E$4:$E$15,MATCH(B236,Clientes!$A$4:$A$15,0))</f>
        <v>1</v>
      </c>
      <c r="I236" s="16" t="n">
        <f aca="false">ROUND(F236*G236*H236,0)</f>
        <v>157746</v>
      </c>
    </row>
    <row r="237" customFormat="false" ht="15" hidden="false" customHeight="false" outlineLevel="0" collapsed="false">
      <c r="A237" s="14" t="n">
        <v>45536</v>
      </c>
      <c r="B237" s="6" t="s">
        <v>35</v>
      </c>
      <c r="C237" s="6" t="s">
        <v>65</v>
      </c>
      <c r="D237" s="0" t="str">
        <f aca="false">INDEX(Clientes!$B$4:$B$15,MATCH(B237,Clientes!$A$4:$A$15,0))</f>
        <v>Taller Mecánico Hermanos Mora</v>
      </c>
      <c r="E237" s="0" t="str">
        <f aca="false">INDEX(Catalogo_Servicios!$C$4:$C$24,MATCH(C237,Catalogo_Servicios!$A$4:$A$24,0))</f>
        <v>Declaración mensual de IVA (D-104)</v>
      </c>
      <c r="F237" s="15" t="n">
        <v>0.75</v>
      </c>
      <c r="G237" s="16" t="n">
        <f aca="false">Parametros!$B$4</f>
        <v>28681</v>
      </c>
      <c r="H237" s="15" t="n">
        <f aca="false">INDEX(Clientes!$E$4:$E$15,MATCH(B237,Clientes!$A$4:$A$15,0))</f>
        <v>1</v>
      </c>
      <c r="I237" s="16" t="n">
        <f aca="false">ROUND(F237*G237*H237,0)</f>
        <v>21511</v>
      </c>
    </row>
    <row r="238" customFormat="false" ht="15" hidden="false" customHeight="false" outlineLevel="0" collapsed="false">
      <c r="A238" s="14" t="n">
        <v>45536</v>
      </c>
      <c r="B238" s="6" t="s">
        <v>36</v>
      </c>
      <c r="C238" s="6" t="s">
        <v>65</v>
      </c>
      <c r="D238" s="0" t="str">
        <f aca="false">INDEX(Clientes!$B$4:$B$15,MATCH(B238,Clientes!$A$4:$A$15,0))</f>
        <v>Agroservicios Cartago</v>
      </c>
      <c r="E238" s="0" t="str">
        <f aca="false">INDEX(Catalogo_Servicios!$C$4:$C$24,MATCH(C238,Catalogo_Servicios!$A$4:$A$24,0))</f>
        <v>Declaración mensual de IVA (D-104)</v>
      </c>
      <c r="F238" s="15" t="n">
        <v>0.75</v>
      </c>
      <c r="G238" s="16" t="n">
        <f aca="false">Parametros!$B$4</f>
        <v>28681</v>
      </c>
      <c r="H238" s="15" t="n">
        <f aca="false">INDEX(Clientes!$E$4:$E$15,MATCH(B238,Clientes!$A$4:$A$15,0))</f>
        <v>1</v>
      </c>
      <c r="I238" s="16" t="n">
        <f aca="false">ROUND(F238*G238*H238,0)</f>
        <v>21511</v>
      </c>
    </row>
    <row r="239" customFormat="false" ht="15" hidden="false" customHeight="false" outlineLevel="0" collapsed="false">
      <c r="A239" s="14" t="n">
        <v>45536</v>
      </c>
      <c r="B239" s="6" t="s">
        <v>36</v>
      </c>
      <c r="C239" s="6" t="s">
        <v>66</v>
      </c>
      <c r="D239" s="0" t="str">
        <f aca="false">INDEX(Clientes!$B$4:$B$15,MATCH(B239,Clientes!$A$4:$A$15,0))</f>
        <v>Agroservicios Cartago</v>
      </c>
      <c r="E239" s="0" t="str">
        <f aca="false">INDEX(Catalogo_Servicios!$C$4:$C$24,MATCH(C239,Catalogo_Servicios!$A$4:$A$24,0))</f>
        <v>Declaración mensual de retenciones (D-103)</v>
      </c>
      <c r="F239" s="15" t="n">
        <v>0.25</v>
      </c>
      <c r="G239" s="16" t="n">
        <f aca="false">Parametros!$B$4</f>
        <v>28681</v>
      </c>
      <c r="H239" s="15" t="n">
        <f aca="false">INDEX(Clientes!$E$4:$E$15,MATCH(B239,Clientes!$A$4:$A$15,0))</f>
        <v>1</v>
      </c>
      <c r="I239" s="16" t="n">
        <f aca="false">ROUND(F239*G239*H239,0)</f>
        <v>7170</v>
      </c>
    </row>
    <row r="240" customFormat="false" ht="15" hidden="false" customHeight="false" outlineLevel="0" collapsed="false">
      <c r="A240" s="14" t="n">
        <v>45536</v>
      </c>
      <c r="B240" s="6" t="s">
        <v>38</v>
      </c>
      <c r="C240" s="6" t="s">
        <v>65</v>
      </c>
      <c r="D240" s="0" t="str">
        <f aca="false">INDEX(Clientes!$B$4:$B$15,MATCH(B240,Clientes!$A$4:$A$15,0))</f>
        <v>Panadería La Espiga</v>
      </c>
      <c r="E240" s="0" t="str">
        <f aca="false">INDEX(Catalogo_Servicios!$C$4:$C$24,MATCH(C240,Catalogo_Servicios!$A$4:$A$24,0))</f>
        <v>Declaración mensual de IVA (D-104)</v>
      </c>
      <c r="F240" s="15" t="n">
        <v>0.75</v>
      </c>
      <c r="G240" s="16" t="n">
        <f aca="false">Parametros!$B$4</f>
        <v>28681</v>
      </c>
      <c r="H240" s="15" t="n">
        <f aca="false">INDEX(Clientes!$E$4:$E$15,MATCH(B240,Clientes!$A$4:$A$15,0))</f>
        <v>1</v>
      </c>
      <c r="I240" s="16" t="n">
        <f aca="false">ROUND(F240*G240*H240,0)</f>
        <v>21511</v>
      </c>
    </row>
    <row r="241" customFormat="false" ht="15" hidden="false" customHeight="false" outlineLevel="0" collapsed="false">
      <c r="A241" s="14" t="n">
        <v>45536</v>
      </c>
      <c r="B241" s="6" t="s">
        <v>38</v>
      </c>
      <c r="C241" s="6" t="s">
        <v>67</v>
      </c>
      <c r="D241" s="0" t="str">
        <f aca="false">INDEX(Clientes!$B$4:$B$15,MATCH(B241,Clientes!$A$4:$A$15,0))</f>
        <v>Panadería La Espiga</v>
      </c>
      <c r="E241" s="0" t="str">
        <f aca="false">INDEX(Catalogo_Servicios!$C$4:$C$24,MATCH(C241,Catalogo_Servicios!$A$4:$A$24,0))</f>
        <v>Cálculo de planillas y cargas sociales (CCSS/INS)</v>
      </c>
      <c r="F241" s="15" t="n">
        <v>7</v>
      </c>
      <c r="G241" s="16" t="n">
        <f aca="false">Parametros!$B$4</f>
        <v>28681</v>
      </c>
      <c r="H241" s="15" t="n">
        <f aca="false">INDEX(Clientes!$E$4:$E$15,MATCH(B241,Clientes!$A$4:$A$15,0))</f>
        <v>1</v>
      </c>
      <c r="I241" s="16" t="n">
        <f aca="false">ROUND(F241*G241*H241,0)</f>
        <v>200767</v>
      </c>
    </row>
    <row r="242" customFormat="false" ht="15" hidden="false" customHeight="false" outlineLevel="0" collapsed="false">
      <c r="A242" s="14" t="n">
        <v>45566</v>
      </c>
      <c r="B242" s="6" t="s">
        <v>29</v>
      </c>
      <c r="C242" s="6" t="s">
        <v>64</v>
      </c>
      <c r="D242" s="0" t="str">
        <f aca="false">INDEX(Clientes!$B$4:$B$15,MATCH(B242,Clientes!$A$4:$A$15,0))</f>
        <v>Distribuidora Los Andes S.A.</v>
      </c>
      <c r="E242" s="0" t="str">
        <f aca="false">INDEX(Catalogo_Servicios!$C$4:$C$24,MATCH(C242,Catalogo_Servicios!$A$4:$A$24,0))</f>
        <v>Estados financieros mensuales</v>
      </c>
      <c r="F242" s="15" t="n">
        <v>3</v>
      </c>
      <c r="G242" s="16" t="n">
        <f aca="false">Parametros!$B$4</f>
        <v>28681</v>
      </c>
      <c r="H242" s="15" t="n">
        <f aca="false">INDEX(Clientes!$E$4:$E$15,MATCH(B242,Clientes!$A$4:$A$15,0))</f>
        <v>1</v>
      </c>
      <c r="I242" s="16" t="n">
        <f aca="false">ROUND(F242*G242*H242,0)</f>
        <v>86043</v>
      </c>
    </row>
    <row r="243" customFormat="false" ht="15" hidden="false" customHeight="false" outlineLevel="0" collapsed="false">
      <c r="A243" s="14" t="n">
        <v>45566</v>
      </c>
      <c r="B243" s="6" t="s">
        <v>29</v>
      </c>
      <c r="C243" s="6" t="s">
        <v>65</v>
      </c>
      <c r="D243" s="0" t="str">
        <f aca="false">INDEX(Clientes!$B$4:$B$15,MATCH(B243,Clientes!$A$4:$A$15,0))</f>
        <v>Distribuidora Los Andes S.A.</v>
      </c>
      <c r="E243" s="0" t="str">
        <f aca="false">INDEX(Catalogo_Servicios!$C$4:$C$24,MATCH(C243,Catalogo_Servicios!$A$4:$A$24,0))</f>
        <v>Declaración mensual de IVA (D-104)</v>
      </c>
      <c r="F243" s="15" t="n">
        <v>0.75</v>
      </c>
      <c r="G243" s="16" t="n">
        <f aca="false">Parametros!$B$4</f>
        <v>28681</v>
      </c>
      <c r="H243" s="15" t="n">
        <f aca="false">INDEX(Clientes!$E$4:$E$15,MATCH(B243,Clientes!$A$4:$A$15,0))</f>
        <v>1</v>
      </c>
      <c r="I243" s="16" t="n">
        <f aca="false">ROUND(F243*G243*H243,0)</f>
        <v>21511</v>
      </c>
    </row>
    <row r="244" customFormat="false" ht="15" hidden="false" customHeight="false" outlineLevel="0" collapsed="false">
      <c r="A244" s="14" t="n">
        <v>45566</v>
      </c>
      <c r="B244" s="6" t="s">
        <v>29</v>
      </c>
      <c r="C244" s="6" t="s">
        <v>66</v>
      </c>
      <c r="D244" s="0" t="str">
        <f aca="false">INDEX(Clientes!$B$4:$B$15,MATCH(B244,Clientes!$A$4:$A$15,0))</f>
        <v>Distribuidora Los Andes S.A.</v>
      </c>
      <c r="E244" s="0" t="str">
        <f aca="false">INDEX(Catalogo_Servicios!$C$4:$C$24,MATCH(C244,Catalogo_Servicios!$A$4:$A$24,0))</f>
        <v>Declaración mensual de retenciones (D-103)</v>
      </c>
      <c r="F244" s="15" t="n">
        <v>0.25</v>
      </c>
      <c r="G244" s="16" t="n">
        <f aca="false">Parametros!$B$4</f>
        <v>28681</v>
      </c>
      <c r="H244" s="15" t="n">
        <f aca="false">INDEX(Clientes!$E$4:$E$15,MATCH(B244,Clientes!$A$4:$A$15,0))</f>
        <v>1</v>
      </c>
      <c r="I244" s="16" t="n">
        <f aca="false">ROUND(F244*G244*H244,0)</f>
        <v>7170</v>
      </c>
    </row>
    <row r="245" customFormat="false" ht="15" hidden="false" customHeight="false" outlineLevel="0" collapsed="false">
      <c r="A245" s="14" t="n">
        <v>45566</v>
      </c>
      <c r="B245" s="6" t="s">
        <v>29</v>
      </c>
      <c r="C245" s="6" t="s">
        <v>67</v>
      </c>
      <c r="D245" s="0" t="str">
        <f aca="false">INDEX(Clientes!$B$4:$B$15,MATCH(B245,Clientes!$A$4:$A$15,0))</f>
        <v>Distribuidora Los Andes S.A.</v>
      </c>
      <c r="E245" s="0" t="str">
        <f aca="false">INDEX(Catalogo_Servicios!$C$4:$C$24,MATCH(C245,Catalogo_Servicios!$A$4:$A$24,0))</f>
        <v>Cálculo de planillas y cargas sociales (CCSS/INS)</v>
      </c>
      <c r="F245" s="15" t="n">
        <v>20.5</v>
      </c>
      <c r="G245" s="16" t="n">
        <f aca="false">Parametros!$B$4</f>
        <v>28681</v>
      </c>
      <c r="H245" s="15" t="n">
        <f aca="false">INDEX(Clientes!$E$4:$E$15,MATCH(B245,Clientes!$A$4:$A$15,0))</f>
        <v>1</v>
      </c>
      <c r="I245" s="16" t="n">
        <f aca="false">ROUND(F245*G245*H245,0)</f>
        <v>587961</v>
      </c>
    </row>
    <row r="246" customFormat="false" ht="15" hidden="false" customHeight="false" outlineLevel="0" collapsed="false">
      <c r="A246" s="14" t="n">
        <v>45566</v>
      </c>
      <c r="B246" s="6" t="s">
        <v>30</v>
      </c>
      <c r="C246" s="6" t="s">
        <v>64</v>
      </c>
      <c r="D246" s="0" t="str">
        <f aca="false">INDEX(Clientes!$B$4:$B$15,MATCH(B246,Clientes!$A$4:$A$15,0))</f>
        <v>Ferretería El Tornillo</v>
      </c>
      <c r="E246" s="0" t="str">
        <f aca="false">INDEX(Catalogo_Servicios!$C$4:$C$24,MATCH(C246,Catalogo_Servicios!$A$4:$A$24,0))</f>
        <v>Estados financieros mensuales</v>
      </c>
      <c r="F246" s="15" t="n">
        <v>3.5</v>
      </c>
      <c r="G246" s="16" t="n">
        <f aca="false">Parametros!$B$4</f>
        <v>28681</v>
      </c>
      <c r="H246" s="15" t="n">
        <f aca="false">INDEX(Clientes!$E$4:$E$15,MATCH(B246,Clientes!$A$4:$A$15,0))</f>
        <v>1</v>
      </c>
      <c r="I246" s="16" t="n">
        <f aca="false">ROUND(F246*G246*H246,0)</f>
        <v>100384</v>
      </c>
    </row>
    <row r="247" customFormat="false" ht="15" hidden="false" customHeight="false" outlineLevel="0" collapsed="false">
      <c r="A247" s="14" t="n">
        <v>45566</v>
      </c>
      <c r="B247" s="6" t="s">
        <v>30</v>
      </c>
      <c r="C247" s="6" t="s">
        <v>65</v>
      </c>
      <c r="D247" s="0" t="str">
        <f aca="false">INDEX(Clientes!$B$4:$B$15,MATCH(B247,Clientes!$A$4:$A$15,0))</f>
        <v>Ferretería El Tornillo</v>
      </c>
      <c r="E247" s="0" t="str">
        <f aca="false">INDEX(Catalogo_Servicios!$C$4:$C$24,MATCH(C247,Catalogo_Servicios!$A$4:$A$24,0))</f>
        <v>Declaración mensual de IVA (D-104)</v>
      </c>
      <c r="F247" s="15" t="n">
        <v>0.75</v>
      </c>
      <c r="G247" s="16" t="n">
        <f aca="false">Parametros!$B$4</f>
        <v>28681</v>
      </c>
      <c r="H247" s="15" t="n">
        <f aca="false">INDEX(Clientes!$E$4:$E$15,MATCH(B247,Clientes!$A$4:$A$15,0))</f>
        <v>1</v>
      </c>
      <c r="I247" s="16" t="n">
        <f aca="false">ROUND(F247*G247*H247,0)</f>
        <v>21511</v>
      </c>
    </row>
    <row r="248" customFormat="false" ht="15" hidden="false" customHeight="false" outlineLevel="0" collapsed="false">
      <c r="A248" s="14" t="n">
        <v>45566</v>
      </c>
      <c r="B248" s="6" t="s">
        <v>30</v>
      </c>
      <c r="C248" s="6" t="s">
        <v>66</v>
      </c>
      <c r="D248" s="0" t="str">
        <f aca="false">INDEX(Clientes!$B$4:$B$15,MATCH(B248,Clientes!$A$4:$A$15,0))</f>
        <v>Ferretería El Tornillo</v>
      </c>
      <c r="E248" s="0" t="str">
        <f aca="false">INDEX(Catalogo_Servicios!$C$4:$C$24,MATCH(C248,Catalogo_Servicios!$A$4:$A$24,0))</f>
        <v>Declaración mensual de retenciones (D-103)</v>
      </c>
      <c r="F248" s="15" t="n">
        <v>0.25</v>
      </c>
      <c r="G248" s="16" t="n">
        <f aca="false">Parametros!$B$4</f>
        <v>28681</v>
      </c>
      <c r="H248" s="15" t="n">
        <f aca="false">INDEX(Clientes!$E$4:$E$15,MATCH(B248,Clientes!$A$4:$A$15,0))</f>
        <v>1</v>
      </c>
      <c r="I248" s="16" t="n">
        <f aca="false">ROUND(F248*G248*H248,0)</f>
        <v>7170</v>
      </c>
    </row>
    <row r="249" customFormat="false" ht="15" hidden="false" customHeight="false" outlineLevel="0" collapsed="false">
      <c r="A249" s="14" t="n">
        <v>45566</v>
      </c>
      <c r="B249" s="6" t="s">
        <v>31</v>
      </c>
      <c r="C249" s="6" t="s">
        <v>65</v>
      </c>
      <c r="D249" s="0" t="str">
        <f aca="false">INDEX(Clientes!$B$4:$B$15,MATCH(B249,Clientes!$A$4:$A$15,0))</f>
        <v>Clínica Dental Sonrisa</v>
      </c>
      <c r="E249" s="0" t="str">
        <f aca="false">INDEX(Catalogo_Servicios!$C$4:$C$24,MATCH(C249,Catalogo_Servicios!$A$4:$A$24,0))</f>
        <v>Declaración mensual de IVA (D-104)</v>
      </c>
      <c r="F249" s="15" t="n">
        <v>0.75</v>
      </c>
      <c r="G249" s="16" t="n">
        <f aca="false">Parametros!$B$4</f>
        <v>28681</v>
      </c>
      <c r="H249" s="15" t="n">
        <f aca="false">INDEX(Clientes!$E$4:$E$15,MATCH(B249,Clientes!$A$4:$A$15,0))</f>
        <v>1.1</v>
      </c>
      <c r="I249" s="16" t="n">
        <f aca="false">ROUND(F249*G249*H249,0)</f>
        <v>23662</v>
      </c>
    </row>
    <row r="250" customFormat="false" ht="15" hidden="false" customHeight="false" outlineLevel="0" collapsed="false">
      <c r="A250" s="14" t="n">
        <v>45566</v>
      </c>
      <c r="B250" s="6" t="s">
        <v>32</v>
      </c>
      <c r="C250" s="6" t="s">
        <v>68</v>
      </c>
      <c r="D250" s="0" t="str">
        <f aca="false">INDEX(Clientes!$B$4:$B$15,MATCH(B250,Clientes!$A$4:$A$15,0))</f>
        <v>Soda y Restaurante Doña Lela</v>
      </c>
      <c r="E250" s="0" t="str">
        <f aca="false">INDEX(Catalogo_Servicios!$C$4:$C$24,MATCH(C250,Catalogo_Servicios!$A$4:$A$24,0))</f>
        <v>Asesoría contable, financiera y tributaria</v>
      </c>
      <c r="F250" s="15" t="n">
        <v>2</v>
      </c>
      <c r="G250" s="16" t="n">
        <f aca="false">Parametros!$B$4</f>
        <v>28681</v>
      </c>
      <c r="H250" s="15" t="n">
        <f aca="false">INDEX(Clientes!$E$4:$E$15,MATCH(B250,Clientes!$A$4:$A$15,0))</f>
        <v>1</v>
      </c>
      <c r="I250" s="16" t="n">
        <f aca="false">ROUND(F250*G250*H250,0)</f>
        <v>57362</v>
      </c>
    </row>
    <row r="251" customFormat="false" ht="15" hidden="false" customHeight="false" outlineLevel="0" collapsed="false">
      <c r="A251" s="14" t="n">
        <v>45566</v>
      </c>
      <c r="B251" s="6" t="s">
        <v>32</v>
      </c>
      <c r="C251" s="6" t="s">
        <v>65</v>
      </c>
      <c r="D251" s="0" t="str">
        <f aca="false">INDEX(Clientes!$B$4:$B$15,MATCH(B251,Clientes!$A$4:$A$15,0))</f>
        <v>Soda y Restaurante Doña Lela</v>
      </c>
      <c r="E251" s="0" t="str">
        <f aca="false">INDEX(Catalogo_Servicios!$C$4:$C$24,MATCH(C251,Catalogo_Servicios!$A$4:$A$24,0))</f>
        <v>Declaración mensual de IVA (D-104)</v>
      </c>
      <c r="F251" s="15" t="n">
        <v>0.75</v>
      </c>
      <c r="G251" s="16" t="n">
        <f aca="false">Parametros!$B$4</f>
        <v>28681</v>
      </c>
      <c r="H251" s="15" t="n">
        <f aca="false">INDEX(Clientes!$E$4:$E$15,MATCH(B251,Clientes!$A$4:$A$15,0))</f>
        <v>1</v>
      </c>
      <c r="I251" s="16" t="n">
        <f aca="false">ROUND(F251*G251*H251,0)</f>
        <v>21511</v>
      </c>
    </row>
    <row r="252" customFormat="false" ht="15" hidden="false" customHeight="false" outlineLevel="0" collapsed="false">
      <c r="A252" s="14" t="n">
        <v>45566</v>
      </c>
      <c r="B252" s="6" t="s">
        <v>33</v>
      </c>
      <c r="C252" s="6" t="s">
        <v>65</v>
      </c>
      <c r="D252" s="0" t="str">
        <f aca="false">INDEX(Clientes!$B$4:$B$15,MATCH(B252,Clientes!$A$4:$A$15,0))</f>
        <v>Transportes Rápidos del Valle</v>
      </c>
      <c r="E252" s="0" t="str">
        <f aca="false">INDEX(Catalogo_Servicios!$C$4:$C$24,MATCH(C252,Catalogo_Servicios!$A$4:$A$24,0))</f>
        <v>Declaración mensual de IVA (D-104)</v>
      </c>
      <c r="F252" s="15" t="n">
        <v>0.75</v>
      </c>
      <c r="G252" s="16" t="n">
        <f aca="false">Parametros!$B$4</f>
        <v>28681</v>
      </c>
      <c r="H252" s="15" t="n">
        <f aca="false">INDEX(Clientes!$E$4:$E$15,MATCH(B252,Clientes!$A$4:$A$15,0))</f>
        <v>1</v>
      </c>
      <c r="I252" s="16" t="n">
        <f aca="false">ROUND(F252*G252*H252,0)</f>
        <v>21511</v>
      </c>
    </row>
    <row r="253" customFormat="false" ht="15" hidden="false" customHeight="false" outlineLevel="0" collapsed="false">
      <c r="A253" s="14" t="n">
        <v>45566</v>
      </c>
      <c r="B253" s="6" t="s">
        <v>33</v>
      </c>
      <c r="C253" s="6" t="s">
        <v>66</v>
      </c>
      <c r="D253" s="0" t="str">
        <f aca="false">INDEX(Clientes!$B$4:$B$15,MATCH(B253,Clientes!$A$4:$A$15,0))</f>
        <v>Transportes Rápidos del Valle</v>
      </c>
      <c r="E253" s="0" t="str">
        <f aca="false">INDEX(Catalogo_Servicios!$C$4:$C$24,MATCH(C253,Catalogo_Servicios!$A$4:$A$24,0))</f>
        <v>Declaración mensual de retenciones (D-103)</v>
      </c>
      <c r="F253" s="15" t="n">
        <v>0.25</v>
      </c>
      <c r="G253" s="16" t="n">
        <f aca="false">Parametros!$B$4</f>
        <v>28681</v>
      </c>
      <c r="H253" s="15" t="n">
        <f aca="false">INDEX(Clientes!$E$4:$E$15,MATCH(B253,Clientes!$A$4:$A$15,0))</f>
        <v>1</v>
      </c>
      <c r="I253" s="16" t="n">
        <f aca="false">ROUND(F253*G253*H253,0)</f>
        <v>7170</v>
      </c>
    </row>
    <row r="254" customFormat="false" ht="15" hidden="false" customHeight="false" outlineLevel="0" collapsed="false">
      <c r="A254" s="14" t="n">
        <v>45566</v>
      </c>
      <c r="B254" s="6" t="s">
        <v>33</v>
      </c>
      <c r="C254" s="6" t="s">
        <v>67</v>
      </c>
      <c r="D254" s="0" t="str">
        <f aca="false">INDEX(Clientes!$B$4:$B$15,MATCH(B254,Clientes!$A$4:$A$15,0))</f>
        <v>Transportes Rápidos del Valle</v>
      </c>
      <c r="E254" s="0" t="str">
        <f aca="false">INDEX(Catalogo_Servicios!$C$4:$C$24,MATCH(C254,Catalogo_Servicios!$A$4:$A$24,0))</f>
        <v>Cálculo de planillas y cargas sociales (CCSS/INS)</v>
      </c>
      <c r="F254" s="15" t="n">
        <v>6</v>
      </c>
      <c r="G254" s="16" t="n">
        <f aca="false">Parametros!$B$4</f>
        <v>28681</v>
      </c>
      <c r="H254" s="15" t="n">
        <f aca="false">INDEX(Clientes!$E$4:$E$15,MATCH(B254,Clientes!$A$4:$A$15,0))</f>
        <v>1</v>
      </c>
      <c r="I254" s="16" t="n">
        <f aca="false">ROUND(F254*G254*H254,0)</f>
        <v>172086</v>
      </c>
    </row>
    <row r="255" customFormat="false" ht="15" hidden="false" customHeight="false" outlineLevel="0" collapsed="false">
      <c r="A255" s="14" t="n">
        <v>45566</v>
      </c>
      <c r="B255" s="6" t="s">
        <v>35</v>
      </c>
      <c r="C255" s="6" t="s">
        <v>65</v>
      </c>
      <c r="D255" s="0" t="str">
        <f aca="false">INDEX(Clientes!$B$4:$B$15,MATCH(B255,Clientes!$A$4:$A$15,0))</f>
        <v>Taller Mecánico Hermanos Mora</v>
      </c>
      <c r="E255" s="0" t="str">
        <f aca="false">INDEX(Catalogo_Servicios!$C$4:$C$24,MATCH(C255,Catalogo_Servicios!$A$4:$A$24,0))</f>
        <v>Declaración mensual de IVA (D-104)</v>
      </c>
      <c r="F255" s="15" t="n">
        <v>0.75</v>
      </c>
      <c r="G255" s="16" t="n">
        <f aca="false">Parametros!$B$4</f>
        <v>28681</v>
      </c>
      <c r="H255" s="15" t="n">
        <f aca="false">INDEX(Clientes!$E$4:$E$15,MATCH(B255,Clientes!$A$4:$A$15,0))</f>
        <v>1</v>
      </c>
      <c r="I255" s="16" t="n">
        <f aca="false">ROUND(F255*G255*H255,0)</f>
        <v>21511</v>
      </c>
    </row>
    <row r="256" customFormat="false" ht="15" hidden="false" customHeight="false" outlineLevel="0" collapsed="false">
      <c r="A256" s="14" t="n">
        <v>45566</v>
      </c>
      <c r="B256" s="6" t="s">
        <v>36</v>
      </c>
      <c r="C256" s="6" t="s">
        <v>65</v>
      </c>
      <c r="D256" s="0" t="str">
        <f aca="false">INDEX(Clientes!$B$4:$B$15,MATCH(B256,Clientes!$A$4:$A$15,0))</f>
        <v>Agroservicios Cartago</v>
      </c>
      <c r="E256" s="0" t="str">
        <f aca="false">INDEX(Catalogo_Servicios!$C$4:$C$24,MATCH(C256,Catalogo_Servicios!$A$4:$A$24,0))</f>
        <v>Declaración mensual de IVA (D-104)</v>
      </c>
      <c r="F256" s="15" t="n">
        <v>0.75</v>
      </c>
      <c r="G256" s="16" t="n">
        <f aca="false">Parametros!$B$4</f>
        <v>28681</v>
      </c>
      <c r="H256" s="15" t="n">
        <f aca="false">INDEX(Clientes!$E$4:$E$15,MATCH(B256,Clientes!$A$4:$A$15,0))</f>
        <v>1</v>
      </c>
      <c r="I256" s="16" t="n">
        <f aca="false">ROUND(F256*G256*H256,0)</f>
        <v>21511</v>
      </c>
    </row>
    <row r="257" customFormat="false" ht="15" hidden="false" customHeight="false" outlineLevel="0" collapsed="false">
      <c r="A257" s="14" t="n">
        <v>45566</v>
      </c>
      <c r="B257" s="6" t="s">
        <v>36</v>
      </c>
      <c r="C257" s="6" t="s">
        <v>66</v>
      </c>
      <c r="D257" s="0" t="str">
        <f aca="false">INDEX(Clientes!$B$4:$B$15,MATCH(B257,Clientes!$A$4:$A$15,0))</f>
        <v>Agroservicios Cartago</v>
      </c>
      <c r="E257" s="0" t="str">
        <f aca="false">INDEX(Catalogo_Servicios!$C$4:$C$24,MATCH(C257,Catalogo_Servicios!$A$4:$A$24,0))</f>
        <v>Declaración mensual de retenciones (D-103)</v>
      </c>
      <c r="F257" s="15" t="n">
        <v>0.25</v>
      </c>
      <c r="G257" s="16" t="n">
        <f aca="false">Parametros!$B$4</f>
        <v>28681</v>
      </c>
      <c r="H257" s="15" t="n">
        <f aca="false">INDEX(Clientes!$E$4:$E$15,MATCH(B257,Clientes!$A$4:$A$15,0))</f>
        <v>1</v>
      </c>
      <c r="I257" s="16" t="n">
        <f aca="false">ROUND(F257*G257*H257,0)</f>
        <v>7170</v>
      </c>
    </row>
    <row r="258" customFormat="false" ht="15" hidden="false" customHeight="false" outlineLevel="0" collapsed="false">
      <c r="A258" s="14" t="n">
        <v>45566</v>
      </c>
      <c r="B258" s="6" t="s">
        <v>38</v>
      </c>
      <c r="C258" s="6" t="s">
        <v>65</v>
      </c>
      <c r="D258" s="0" t="str">
        <f aca="false">INDEX(Clientes!$B$4:$B$15,MATCH(B258,Clientes!$A$4:$A$15,0))</f>
        <v>Panadería La Espiga</v>
      </c>
      <c r="E258" s="0" t="str">
        <f aca="false">INDEX(Catalogo_Servicios!$C$4:$C$24,MATCH(C258,Catalogo_Servicios!$A$4:$A$24,0))</f>
        <v>Declaración mensual de IVA (D-104)</v>
      </c>
      <c r="F258" s="15" t="n">
        <v>0.75</v>
      </c>
      <c r="G258" s="16" t="n">
        <f aca="false">Parametros!$B$4</f>
        <v>28681</v>
      </c>
      <c r="H258" s="15" t="n">
        <f aca="false">INDEX(Clientes!$E$4:$E$15,MATCH(B258,Clientes!$A$4:$A$15,0))</f>
        <v>1</v>
      </c>
      <c r="I258" s="16" t="n">
        <f aca="false">ROUND(F258*G258*H258,0)</f>
        <v>21511</v>
      </c>
    </row>
    <row r="259" customFormat="false" ht="15" hidden="false" customHeight="false" outlineLevel="0" collapsed="false">
      <c r="A259" s="14" t="n">
        <v>45566</v>
      </c>
      <c r="B259" s="6" t="s">
        <v>38</v>
      </c>
      <c r="C259" s="6" t="s">
        <v>67</v>
      </c>
      <c r="D259" s="0" t="str">
        <f aca="false">INDEX(Clientes!$B$4:$B$15,MATCH(B259,Clientes!$A$4:$A$15,0))</f>
        <v>Panadería La Espiga</v>
      </c>
      <c r="E259" s="0" t="str">
        <f aca="false">INDEX(Catalogo_Servicios!$C$4:$C$24,MATCH(C259,Catalogo_Servicios!$A$4:$A$24,0))</f>
        <v>Cálculo de planillas y cargas sociales (CCSS/INS)</v>
      </c>
      <c r="F259" s="15" t="n">
        <v>6.5</v>
      </c>
      <c r="G259" s="16" t="n">
        <f aca="false">Parametros!$B$4</f>
        <v>28681</v>
      </c>
      <c r="H259" s="15" t="n">
        <f aca="false">INDEX(Clientes!$E$4:$E$15,MATCH(B259,Clientes!$A$4:$A$15,0))</f>
        <v>1</v>
      </c>
      <c r="I259" s="16" t="n">
        <f aca="false">ROUND(F259*G259*H259,0)</f>
        <v>186427</v>
      </c>
    </row>
    <row r="260" customFormat="false" ht="15" hidden="false" customHeight="false" outlineLevel="0" collapsed="false">
      <c r="A260" s="14" t="n">
        <v>45597</v>
      </c>
      <c r="B260" s="6" t="s">
        <v>29</v>
      </c>
      <c r="C260" s="6" t="s">
        <v>64</v>
      </c>
      <c r="D260" s="0" t="str">
        <f aca="false">INDEX(Clientes!$B$4:$B$15,MATCH(B260,Clientes!$A$4:$A$15,0))</f>
        <v>Distribuidora Los Andes S.A.</v>
      </c>
      <c r="E260" s="0" t="str">
        <f aca="false">INDEX(Catalogo_Servicios!$C$4:$C$24,MATCH(C260,Catalogo_Servicios!$A$4:$A$24,0))</f>
        <v>Estados financieros mensuales</v>
      </c>
      <c r="F260" s="15" t="n">
        <v>3</v>
      </c>
      <c r="G260" s="16" t="n">
        <f aca="false">Parametros!$B$4</f>
        <v>28681</v>
      </c>
      <c r="H260" s="15" t="n">
        <f aca="false">INDEX(Clientes!$E$4:$E$15,MATCH(B260,Clientes!$A$4:$A$15,0))</f>
        <v>1</v>
      </c>
      <c r="I260" s="16" t="n">
        <f aca="false">ROUND(F260*G260*H260,0)</f>
        <v>86043</v>
      </c>
    </row>
    <row r="261" customFormat="false" ht="15" hidden="false" customHeight="false" outlineLevel="0" collapsed="false">
      <c r="A261" s="14" t="n">
        <v>45597</v>
      </c>
      <c r="B261" s="6" t="s">
        <v>29</v>
      </c>
      <c r="C261" s="6" t="s">
        <v>65</v>
      </c>
      <c r="D261" s="0" t="str">
        <f aca="false">INDEX(Clientes!$B$4:$B$15,MATCH(B261,Clientes!$A$4:$A$15,0))</f>
        <v>Distribuidora Los Andes S.A.</v>
      </c>
      <c r="E261" s="0" t="str">
        <f aca="false">INDEX(Catalogo_Servicios!$C$4:$C$24,MATCH(C261,Catalogo_Servicios!$A$4:$A$24,0))</f>
        <v>Declaración mensual de IVA (D-104)</v>
      </c>
      <c r="F261" s="15" t="n">
        <v>0.75</v>
      </c>
      <c r="G261" s="16" t="n">
        <f aca="false">Parametros!$B$4</f>
        <v>28681</v>
      </c>
      <c r="H261" s="15" t="n">
        <f aca="false">INDEX(Clientes!$E$4:$E$15,MATCH(B261,Clientes!$A$4:$A$15,0))</f>
        <v>1</v>
      </c>
      <c r="I261" s="16" t="n">
        <f aca="false">ROUND(F261*G261*H261,0)</f>
        <v>21511</v>
      </c>
    </row>
    <row r="262" customFormat="false" ht="15" hidden="false" customHeight="false" outlineLevel="0" collapsed="false">
      <c r="A262" s="14" t="n">
        <v>45597</v>
      </c>
      <c r="B262" s="6" t="s">
        <v>29</v>
      </c>
      <c r="C262" s="6" t="s">
        <v>66</v>
      </c>
      <c r="D262" s="0" t="str">
        <f aca="false">INDEX(Clientes!$B$4:$B$15,MATCH(B262,Clientes!$A$4:$A$15,0))</f>
        <v>Distribuidora Los Andes S.A.</v>
      </c>
      <c r="E262" s="0" t="str">
        <f aca="false">INDEX(Catalogo_Servicios!$C$4:$C$24,MATCH(C262,Catalogo_Servicios!$A$4:$A$24,0))</f>
        <v>Declaración mensual de retenciones (D-103)</v>
      </c>
      <c r="F262" s="15" t="n">
        <v>0.25</v>
      </c>
      <c r="G262" s="16" t="n">
        <f aca="false">Parametros!$B$4</f>
        <v>28681</v>
      </c>
      <c r="H262" s="15" t="n">
        <f aca="false">INDEX(Clientes!$E$4:$E$15,MATCH(B262,Clientes!$A$4:$A$15,0))</f>
        <v>1</v>
      </c>
      <c r="I262" s="16" t="n">
        <f aca="false">ROUND(F262*G262*H262,0)</f>
        <v>7170</v>
      </c>
    </row>
    <row r="263" customFormat="false" ht="15" hidden="false" customHeight="false" outlineLevel="0" collapsed="false">
      <c r="A263" s="14" t="n">
        <v>45597</v>
      </c>
      <c r="B263" s="6" t="s">
        <v>29</v>
      </c>
      <c r="C263" s="6" t="s">
        <v>67</v>
      </c>
      <c r="D263" s="0" t="str">
        <f aca="false">INDEX(Clientes!$B$4:$B$15,MATCH(B263,Clientes!$A$4:$A$15,0))</f>
        <v>Distribuidora Los Andes S.A.</v>
      </c>
      <c r="E263" s="0" t="str">
        <f aca="false">INDEX(Catalogo_Servicios!$C$4:$C$24,MATCH(C263,Catalogo_Servicios!$A$4:$A$24,0))</f>
        <v>Cálculo de planillas y cargas sociales (CCSS/INS)</v>
      </c>
      <c r="F263" s="15" t="n">
        <v>22.5</v>
      </c>
      <c r="G263" s="16" t="n">
        <f aca="false">Parametros!$B$4</f>
        <v>28681</v>
      </c>
      <c r="H263" s="15" t="n">
        <f aca="false">INDEX(Clientes!$E$4:$E$15,MATCH(B263,Clientes!$A$4:$A$15,0))</f>
        <v>1</v>
      </c>
      <c r="I263" s="16" t="n">
        <f aca="false">ROUND(F263*G263*H263,0)</f>
        <v>645323</v>
      </c>
    </row>
    <row r="264" customFormat="false" ht="15" hidden="false" customHeight="false" outlineLevel="0" collapsed="false">
      <c r="A264" s="14" t="n">
        <v>45597</v>
      </c>
      <c r="B264" s="6" t="s">
        <v>30</v>
      </c>
      <c r="C264" s="6" t="s">
        <v>64</v>
      </c>
      <c r="D264" s="0" t="str">
        <f aca="false">INDEX(Clientes!$B$4:$B$15,MATCH(B264,Clientes!$A$4:$A$15,0))</f>
        <v>Ferretería El Tornillo</v>
      </c>
      <c r="E264" s="0" t="str">
        <f aca="false">INDEX(Catalogo_Servicios!$C$4:$C$24,MATCH(C264,Catalogo_Servicios!$A$4:$A$24,0))</f>
        <v>Estados financieros mensuales</v>
      </c>
      <c r="F264" s="15" t="n">
        <v>3.25</v>
      </c>
      <c r="G264" s="16" t="n">
        <f aca="false">Parametros!$B$4</f>
        <v>28681</v>
      </c>
      <c r="H264" s="15" t="n">
        <f aca="false">INDEX(Clientes!$E$4:$E$15,MATCH(B264,Clientes!$A$4:$A$15,0))</f>
        <v>1</v>
      </c>
      <c r="I264" s="16" t="n">
        <f aca="false">ROUND(F264*G264*H264,0)</f>
        <v>93213</v>
      </c>
    </row>
    <row r="265" customFormat="false" ht="15" hidden="false" customHeight="false" outlineLevel="0" collapsed="false">
      <c r="A265" s="14" t="n">
        <v>45597</v>
      </c>
      <c r="B265" s="6" t="s">
        <v>30</v>
      </c>
      <c r="C265" s="6" t="s">
        <v>65</v>
      </c>
      <c r="D265" s="0" t="str">
        <f aca="false">INDEX(Clientes!$B$4:$B$15,MATCH(B265,Clientes!$A$4:$A$15,0))</f>
        <v>Ferretería El Tornillo</v>
      </c>
      <c r="E265" s="0" t="str">
        <f aca="false">INDEX(Catalogo_Servicios!$C$4:$C$24,MATCH(C265,Catalogo_Servicios!$A$4:$A$24,0))</f>
        <v>Declaración mensual de IVA (D-104)</v>
      </c>
      <c r="F265" s="15" t="n">
        <v>0.75</v>
      </c>
      <c r="G265" s="16" t="n">
        <f aca="false">Parametros!$B$4</f>
        <v>28681</v>
      </c>
      <c r="H265" s="15" t="n">
        <f aca="false">INDEX(Clientes!$E$4:$E$15,MATCH(B265,Clientes!$A$4:$A$15,0))</f>
        <v>1</v>
      </c>
      <c r="I265" s="16" t="n">
        <f aca="false">ROUND(F265*G265*H265,0)</f>
        <v>21511</v>
      </c>
    </row>
    <row r="266" customFormat="false" ht="15" hidden="false" customHeight="false" outlineLevel="0" collapsed="false">
      <c r="A266" s="14" t="n">
        <v>45597</v>
      </c>
      <c r="B266" s="6" t="s">
        <v>30</v>
      </c>
      <c r="C266" s="6" t="s">
        <v>66</v>
      </c>
      <c r="D266" s="0" t="str">
        <f aca="false">INDEX(Clientes!$B$4:$B$15,MATCH(B266,Clientes!$A$4:$A$15,0))</f>
        <v>Ferretería El Tornillo</v>
      </c>
      <c r="E266" s="0" t="str">
        <f aca="false">INDEX(Catalogo_Servicios!$C$4:$C$24,MATCH(C266,Catalogo_Servicios!$A$4:$A$24,0))</f>
        <v>Declaración mensual de retenciones (D-103)</v>
      </c>
      <c r="F266" s="15" t="n">
        <v>0.25</v>
      </c>
      <c r="G266" s="16" t="n">
        <f aca="false">Parametros!$B$4</f>
        <v>28681</v>
      </c>
      <c r="H266" s="15" t="n">
        <f aca="false">INDEX(Clientes!$E$4:$E$15,MATCH(B266,Clientes!$A$4:$A$15,0))</f>
        <v>1</v>
      </c>
      <c r="I266" s="16" t="n">
        <f aca="false">ROUND(F266*G266*H266,0)</f>
        <v>7170</v>
      </c>
    </row>
    <row r="267" customFormat="false" ht="15" hidden="false" customHeight="false" outlineLevel="0" collapsed="false">
      <c r="A267" s="14" t="n">
        <v>45597</v>
      </c>
      <c r="B267" s="6" t="s">
        <v>31</v>
      </c>
      <c r="C267" s="6" t="s">
        <v>65</v>
      </c>
      <c r="D267" s="0" t="str">
        <f aca="false">INDEX(Clientes!$B$4:$B$15,MATCH(B267,Clientes!$A$4:$A$15,0))</f>
        <v>Clínica Dental Sonrisa</v>
      </c>
      <c r="E267" s="0" t="str">
        <f aca="false">INDEX(Catalogo_Servicios!$C$4:$C$24,MATCH(C267,Catalogo_Servicios!$A$4:$A$24,0))</f>
        <v>Declaración mensual de IVA (D-104)</v>
      </c>
      <c r="F267" s="15" t="n">
        <v>0.75</v>
      </c>
      <c r="G267" s="16" t="n">
        <f aca="false">Parametros!$B$4</f>
        <v>28681</v>
      </c>
      <c r="H267" s="15" t="n">
        <f aca="false">INDEX(Clientes!$E$4:$E$15,MATCH(B267,Clientes!$A$4:$A$15,0))</f>
        <v>1.1</v>
      </c>
      <c r="I267" s="16" t="n">
        <f aca="false">ROUND(F267*G267*H267,0)</f>
        <v>23662</v>
      </c>
    </row>
    <row r="268" customFormat="false" ht="15" hidden="false" customHeight="false" outlineLevel="0" collapsed="false">
      <c r="A268" s="14" t="n">
        <v>45597</v>
      </c>
      <c r="B268" s="6" t="s">
        <v>32</v>
      </c>
      <c r="C268" s="6" t="s">
        <v>65</v>
      </c>
      <c r="D268" s="0" t="str">
        <f aca="false">INDEX(Clientes!$B$4:$B$15,MATCH(B268,Clientes!$A$4:$A$15,0))</f>
        <v>Soda y Restaurante Doña Lela</v>
      </c>
      <c r="E268" s="0" t="str">
        <f aca="false">INDEX(Catalogo_Servicios!$C$4:$C$24,MATCH(C268,Catalogo_Servicios!$A$4:$A$24,0))</f>
        <v>Declaración mensual de IVA (D-104)</v>
      </c>
      <c r="F268" s="15" t="n">
        <v>0.75</v>
      </c>
      <c r="G268" s="16" t="n">
        <f aca="false">Parametros!$B$4</f>
        <v>28681</v>
      </c>
      <c r="H268" s="15" t="n">
        <f aca="false">INDEX(Clientes!$E$4:$E$15,MATCH(B268,Clientes!$A$4:$A$15,0))</f>
        <v>1</v>
      </c>
      <c r="I268" s="16" t="n">
        <f aca="false">ROUND(F268*G268*H268,0)</f>
        <v>21511</v>
      </c>
    </row>
    <row r="269" customFormat="false" ht="15" hidden="false" customHeight="false" outlineLevel="0" collapsed="false">
      <c r="A269" s="14" t="n">
        <v>45597</v>
      </c>
      <c r="B269" s="6" t="s">
        <v>33</v>
      </c>
      <c r="C269" s="6" t="s">
        <v>65</v>
      </c>
      <c r="D269" s="0" t="str">
        <f aca="false">INDEX(Clientes!$B$4:$B$15,MATCH(B269,Clientes!$A$4:$A$15,0))</f>
        <v>Transportes Rápidos del Valle</v>
      </c>
      <c r="E269" s="0" t="str">
        <f aca="false">INDEX(Catalogo_Servicios!$C$4:$C$24,MATCH(C269,Catalogo_Servicios!$A$4:$A$24,0))</f>
        <v>Declaración mensual de IVA (D-104)</v>
      </c>
      <c r="F269" s="15" t="n">
        <v>0.75</v>
      </c>
      <c r="G269" s="16" t="n">
        <f aca="false">Parametros!$B$4</f>
        <v>28681</v>
      </c>
      <c r="H269" s="15" t="n">
        <f aca="false">INDEX(Clientes!$E$4:$E$15,MATCH(B269,Clientes!$A$4:$A$15,0))</f>
        <v>1</v>
      </c>
      <c r="I269" s="16" t="n">
        <f aca="false">ROUND(F269*G269*H269,0)</f>
        <v>21511</v>
      </c>
    </row>
    <row r="270" customFormat="false" ht="15" hidden="false" customHeight="false" outlineLevel="0" collapsed="false">
      <c r="A270" s="14" t="n">
        <v>45597</v>
      </c>
      <c r="B270" s="6" t="s">
        <v>33</v>
      </c>
      <c r="C270" s="6" t="s">
        <v>66</v>
      </c>
      <c r="D270" s="0" t="str">
        <f aca="false">INDEX(Clientes!$B$4:$B$15,MATCH(B270,Clientes!$A$4:$A$15,0))</f>
        <v>Transportes Rápidos del Valle</v>
      </c>
      <c r="E270" s="0" t="str">
        <f aca="false">INDEX(Catalogo_Servicios!$C$4:$C$24,MATCH(C270,Catalogo_Servicios!$A$4:$A$24,0))</f>
        <v>Declaración mensual de retenciones (D-103)</v>
      </c>
      <c r="F270" s="15" t="n">
        <v>0.25</v>
      </c>
      <c r="G270" s="16" t="n">
        <f aca="false">Parametros!$B$4</f>
        <v>28681</v>
      </c>
      <c r="H270" s="15" t="n">
        <f aca="false">INDEX(Clientes!$E$4:$E$15,MATCH(B270,Clientes!$A$4:$A$15,0))</f>
        <v>1</v>
      </c>
      <c r="I270" s="16" t="n">
        <f aca="false">ROUND(F270*G270*H270,0)</f>
        <v>7170</v>
      </c>
    </row>
    <row r="271" customFormat="false" ht="15" hidden="false" customHeight="false" outlineLevel="0" collapsed="false">
      <c r="A271" s="14" t="n">
        <v>45597</v>
      </c>
      <c r="B271" s="6" t="s">
        <v>33</v>
      </c>
      <c r="C271" s="6" t="s">
        <v>67</v>
      </c>
      <c r="D271" s="0" t="str">
        <f aca="false">INDEX(Clientes!$B$4:$B$15,MATCH(B271,Clientes!$A$4:$A$15,0))</f>
        <v>Transportes Rápidos del Valle</v>
      </c>
      <c r="E271" s="0" t="str">
        <f aca="false">INDEX(Catalogo_Servicios!$C$4:$C$24,MATCH(C271,Catalogo_Servicios!$A$4:$A$24,0))</f>
        <v>Cálculo de planillas y cargas sociales (CCSS/INS)</v>
      </c>
      <c r="F271" s="15" t="n">
        <v>6</v>
      </c>
      <c r="G271" s="16" t="n">
        <f aca="false">Parametros!$B$4</f>
        <v>28681</v>
      </c>
      <c r="H271" s="15" t="n">
        <f aca="false">INDEX(Clientes!$E$4:$E$15,MATCH(B271,Clientes!$A$4:$A$15,0))</f>
        <v>1</v>
      </c>
      <c r="I271" s="16" t="n">
        <f aca="false">ROUND(F271*G271*H271,0)</f>
        <v>172086</v>
      </c>
    </row>
    <row r="272" customFormat="false" ht="15" hidden="false" customHeight="false" outlineLevel="0" collapsed="false">
      <c r="A272" s="14" t="n">
        <v>45597</v>
      </c>
      <c r="B272" s="6" t="s">
        <v>35</v>
      </c>
      <c r="C272" s="6" t="s">
        <v>65</v>
      </c>
      <c r="D272" s="0" t="str">
        <f aca="false">INDEX(Clientes!$B$4:$B$15,MATCH(B272,Clientes!$A$4:$A$15,0))</f>
        <v>Taller Mecánico Hermanos Mora</v>
      </c>
      <c r="E272" s="0" t="str">
        <f aca="false">INDEX(Catalogo_Servicios!$C$4:$C$24,MATCH(C272,Catalogo_Servicios!$A$4:$A$24,0))</f>
        <v>Declaración mensual de IVA (D-104)</v>
      </c>
      <c r="F272" s="15" t="n">
        <v>0.75</v>
      </c>
      <c r="G272" s="16" t="n">
        <f aca="false">Parametros!$B$4</f>
        <v>28681</v>
      </c>
      <c r="H272" s="15" t="n">
        <f aca="false">INDEX(Clientes!$E$4:$E$15,MATCH(B272,Clientes!$A$4:$A$15,0))</f>
        <v>1</v>
      </c>
      <c r="I272" s="16" t="n">
        <f aca="false">ROUND(F272*G272*H272,0)</f>
        <v>21511</v>
      </c>
    </row>
    <row r="273" customFormat="false" ht="15" hidden="false" customHeight="false" outlineLevel="0" collapsed="false">
      <c r="A273" s="14" t="n">
        <v>45597</v>
      </c>
      <c r="B273" s="6" t="s">
        <v>36</v>
      </c>
      <c r="C273" s="6" t="s">
        <v>65</v>
      </c>
      <c r="D273" s="0" t="str">
        <f aca="false">INDEX(Clientes!$B$4:$B$15,MATCH(B273,Clientes!$A$4:$A$15,0))</f>
        <v>Agroservicios Cartago</v>
      </c>
      <c r="E273" s="0" t="str">
        <f aca="false">INDEX(Catalogo_Servicios!$C$4:$C$24,MATCH(C273,Catalogo_Servicios!$A$4:$A$24,0))</f>
        <v>Declaración mensual de IVA (D-104)</v>
      </c>
      <c r="F273" s="15" t="n">
        <v>0.75</v>
      </c>
      <c r="G273" s="16" t="n">
        <f aca="false">Parametros!$B$4</f>
        <v>28681</v>
      </c>
      <c r="H273" s="15" t="n">
        <f aca="false">INDEX(Clientes!$E$4:$E$15,MATCH(B273,Clientes!$A$4:$A$15,0))</f>
        <v>1</v>
      </c>
      <c r="I273" s="16" t="n">
        <f aca="false">ROUND(F273*G273*H273,0)</f>
        <v>21511</v>
      </c>
    </row>
    <row r="274" customFormat="false" ht="15" hidden="false" customHeight="false" outlineLevel="0" collapsed="false">
      <c r="A274" s="14" t="n">
        <v>45597</v>
      </c>
      <c r="B274" s="6" t="s">
        <v>36</v>
      </c>
      <c r="C274" s="6" t="s">
        <v>66</v>
      </c>
      <c r="D274" s="0" t="str">
        <f aca="false">INDEX(Clientes!$B$4:$B$15,MATCH(B274,Clientes!$A$4:$A$15,0))</f>
        <v>Agroservicios Cartago</v>
      </c>
      <c r="E274" s="0" t="str">
        <f aca="false">INDEX(Catalogo_Servicios!$C$4:$C$24,MATCH(C274,Catalogo_Servicios!$A$4:$A$24,0))</f>
        <v>Declaración mensual de retenciones (D-103)</v>
      </c>
      <c r="F274" s="15" t="n">
        <v>0.25</v>
      </c>
      <c r="G274" s="16" t="n">
        <f aca="false">Parametros!$B$4</f>
        <v>28681</v>
      </c>
      <c r="H274" s="15" t="n">
        <f aca="false">INDEX(Clientes!$E$4:$E$15,MATCH(B274,Clientes!$A$4:$A$15,0))</f>
        <v>1</v>
      </c>
      <c r="I274" s="16" t="n">
        <f aca="false">ROUND(F274*G274*H274,0)</f>
        <v>7170</v>
      </c>
    </row>
    <row r="275" customFormat="false" ht="15" hidden="false" customHeight="false" outlineLevel="0" collapsed="false">
      <c r="A275" s="14" t="n">
        <v>45597</v>
      </c>
      <c r="B275" s="6" t="s">
        <v>38</v>
      </c>
      <c r="C275" s="6" t="s">
        <v>65</v>
      </c>
      <c r="D275" s="0" t="str">
        <f aca="false">INDEX(Clientes!$B$4:$B$15,MATCH(B275,Clientes!$A$4:$A$15,0))</f>
        <v>Panadería La Espiga</v>
      </c>
      <c r="E275" s="0" t="str">
        <f aca="false">INDEX(Catalogo_Servicios!$C$4:$C$24,MATCH(C275,Catalogo_Servicios!$A$4:$A$24,0))</f>
        <v>Declaración mensual de IVA (D-104)</v>
      </c>
      <c r="F275" s="15" t="n">
        <v>0.75</v>
      </c>
      <c r="G275" s="16" t="n">
        <f aca="false">Parametros!$B$4</f>
        <v>28681</v>
      </c>
      <c r="H275" s="15" t="n">
        <f aca="false">INDEX(Clientes!$E$4:$E$15,MATCH(B275,Clientes!$A$4:$A$15,0))</f>
        <v>1</v>
      </c>
      <c r="I275" s="16" t="n">
        <f aca="false">ROUND(F275*G275*H275,0)</f>
        <v>21511</v>
      </c>
    </row>
    <row r="276" customFormat="false" ht="15" hidden="false" customHeight="false" outlineLevel="0" collapsed="false">
      <c r="A276" s="14" t="n">
        <v>45597</v>
      </c>
      <c r="B276" s="6" t="s">
        <v>38</v>
      </c>
      <c r="C276" s="6" t="s">
        <v>67</v>
      </c>
      <c r="D276" s="0" t="str">
        <f aca="false">INDEX(Clientes!$B$4:$B$15,MATCH(B276,Clientes!$A$4:$A$15,0))</f>
        <v>Panadería La Espiga</v>
      </c>
      <c r="E276" s="0" t="str">
        <f aca="false">INDEX(Catalogo_Servicios!$C$4:$C$24,MATCH(C276,Catalogo_Servicios!$A$4:$A$24,0))</f>
        <v>Cálculo de planillas y cargas sociales (CCSS/INS)</v>
      </c>
      <c r="F276" s="15" t="n">
        <v>6.5</v>
      </c>
      <c r="G276" s="16" t="n">
        <f aca="false">Parametros!$B$4</f>
        <v>28681</v>
      </c>
      <c r="H276" s="15" t="n">
        <f aca="false">INDEX(Clientes!$E$4:$E$15,MATCH(B276,Clientes!$A$4:$A$15,0))</f>
        <v>1</v>
      </c>
      <c r="I276" s="16" t="n">
        <f aca="false">ROUND(F276*G276*H276,0)</f>
        <v>186427</v>
      </c>
    </row>
    <row r="277" customFormat="false" ht="15" hidden="false" customHeight="false" outlineLevel="0" collapsed="false">
      <c r="A277" s="14" t="n">
        <v>45627</v>
      </c>
      <c r="B277" s="6" t="s">
        <v>29</v>
      </c>
      <c r="C277" s="6" t="s">
        <v>64</v>
      </c>
      <c r="D277" s="0" t="str">
        <f aca="false">INDEX(Clientes!$B$4:$B$15,MATCH(B277,Clientes!$A$4:$A$15,0))</f>
        <v>Distribuidora Los Andes S.A.</v>
      </c>
      <c r="E277" s="0" t="str">
        <f aca="false">INDEX(Catalogo_Servicios!$C$4:$C$24,MATCH(C277,Catalogo_Servicios!$A$4:$A$24,0))</f>
        <v>Estados financieros mensuales</v>
      </c>
      <c r="F277" s="15" t="n">
        <v>3</v>
      </c>
      <c r="G277" s="16" t="n">
        <f aca="false">Parametros!$B$4</f>
        <v>28681</v>
      </c>
      <c r="H277" s="15" t="n">
        <f aca="false">INDEX(Clientes!$E$4:$E$15,MATCH(B277,Clientes!$A$4:$A$15,0))</f>
        <v>1</v>
      </c>
      <c r="I277" s="16" t="n">
        <f aca="false">ROUND(F277*G277*H277,0)</f>
        <v>86043</v>
      </c>
    </row>
    <row r="278" customFormat="false" ht="15" hidden="false" customHeight="false" outlineLevel="0" collapsed="false">
      <c r="A278" s="14" t="n">
        <v>45627</v>
      </c>
      <c r="B278" s="6" t="s">
        <v>29</v>
      </c>
      <c r="C278" s="6" t="s">
        <v>65</v>
      </c>
      <c r="D278" s="0" t="str">
        <f aca="false">INDEX(Clientes!$B$4:$B$15,MATCH(B278,Clientes!$A$4:$A$15,0))</f>
        <v>Distribuidora Los Andes S.A.</v>
      </c>
      <c r="E278" s="0" t="str">
        <f aca="false">INDEX(Catalogo_Servicios!$C$4:$C$24,MATCH(C278,Catalogo_Servicios!$A$4:$A$24,0))</f>
        <v>Declaración mensual de IVA (D-104)</v>
      </c>
      <c r="F278" s="15" t="n">
        <v>0.75</v>
      </c>
      <c r="G278" s="16" t="n">
        <f aca="false">Parametros!$B$4</f>
        <v>28681</v>
      </c>
      <c r="H278" s="15" t="n">
        <f aca="false">INDEX(Clientes!$E$4:$E$15,MATCH(B278,Clientes!$A$4:$A$15,0))</f>
        <v>1</v>
      </c>
      <c r="I278" s="16" t="n">
        <f aca="false">ROUND(F278*G278*H278,0)</f>
        <v>21511</v>
      </c>
    </row>
    <row r="279" customFormat="false" ht="15" hidden="false" customHeight="false" outlineLevel="0" collapsed="false">
      <c r="A279" s="14" t="n">
        <v>45627</v>
      </c>
      <c r="B279" s="6" t="s">
        <v>29</v>
      </c>
      <c r="C279" s="6" t="s">
        <v>66</v>
      </c>
      <c r="D279" s="0" t="str">
        <f aca="false">INDEX(Clientes!$B$4:$B$15,MATCH(B279,Clientes!$A$4:$A$15,0))</f>
        <v>Distribuidora Los Andes S.A.</v>
      </c>
      <c r="E279" s="0" t="str">
        <f aca="false">INDEX(Catalogo_Servicios!$C$4:$C$24,MATCH(C279,Catalogo_Servicios!$A$4:$A$24,0))</f>
        <v>Declaración mensual de retenciones (D-103)</v>
      </c>
      <c r="F279" s="15" t="n">
        <v>0.25</v>
      </c>
      <c r="G279" s="16" t="n">
        <f aca="false">Parametros!$B$4</f>
        <v>28681</v>
      </c>
      <c r="H279" s="15" t="n">
        <f aca="false">INDEX(Clientes!$E$4:$E$15,MATCH(B279,Clientes!$A$4:$A$15,0))</f>
        <v>1</v>
      </c>
      <c r="I279" s="16" t="n">
        <f aca="false">ROUND(F279*G279*H279,0)</f>
        <v>7170</v>
      </c>
    </row>
    <row r="280" customFormat="false" ht="15" hidden="false" customHeight="false" outlineLevel="0" collapsed="false">
      <c r="A280" s="14" t="n">
        <v>45627</v>
      </c>
      <c r="B280" s="6" t="s">
        <v>29</v>
      </c>
      <c r="C280" s="6" t="s">
        <v>67</v>
      </c>
      <c r="D280" s="0" t="str">
        <f aca="false">INDEX(Clientes!$B$4:$B$15,MATCH(B280,Clientes!$A$4:$A$15,0))</f>
        <v>Distribuidora Los Andes S.A.</v>
      </c>
      <c r="E280" s="0" t="str">
        <f aca="false">INDEX(Catalogo_Servicios!$C$4:$C$24,MATCH(C280,Catalogo_Servicios!$A$4:$A$24,0))</f>
        <v>Cálculo de planillas y cargas sociales (CCSS/INS)</v>
      </c>
      <c r="F280" s="15" t="n">
        <v>21.5</v>
      </c>
      <c r="G280" s="16" t="n">
        <f aca="false">Parametros!$B$4</f>
        <v>28681</v>
      </c>
      <c r="H280" s="15" t="n">
        <f aca="false">INDEX(Clientes!$E$4:$E$15,MATCH(B280,Clientes!$A$4:$A$15,0))</f>
        <v>1</v>
      </c>
      <c r="I280" s="16" t="n">
        <f aca="false">ROUND(F280*G280*H280,0)</f>
        <v>616642</v>
      </c>
    </row>
    <row r="281" customFormat="false" ht="15" hidden="false" customHeight="false" outlineLevel="0" collapsed="false">
      <c r="A281" s="14" t="n">
        <v>45627</v>
      </c>
      <c r="B281" s="6" t="s">
        <v>29</v>
      </c>
      <c r="C281" s="6" t="s">
        <v>69</v>
      </c>
      <c r="D281" s="0" t="str">
        <f aca="false">INDEX(Clientes!$B$4:$B$15,MATCH(B281,Clientes!$A$4:$A$15,0))</f>
        <v>Distribuidora Los Andes S.A.</v>
      </c>
      <c r="E281" s="0" t="str">
        <f aca="false">INDEX(Catalogo_Servicios!$C$4:$C$24,MATCH(C281,Catalogo_Servicios!$A$4:$A$24,0))</f>
        <v>Declaración anual de renta (D-101 / D-105)</v>
      </c>
      <c r="F281" s="15" t="n">
        <v>1.5</v>
      </c>
      <c r="G281" s="16" t="n">
        <f aca="false">Parametros!$B$4</f>
        <v>28681</v>
      </c>
      <c r="H281" s="15" t="n">
        <f aca="false">INDEX(Clientes!$E$4:$E$15,MATCH(B281,Clientes!$A$4:$A$15,0))</f>
        <v>1</v>
      </c>
      <c r="I281" s="16" t="n">
        <f aca="false">ROUND(F281*G281*H281,0)</f>
        <v>43022</v>
      </c>
    </row>
    <row r="282" customFormat="false" ht="15" hidden="false" customHeight="false" outlineLevel="0" collapsed="false">
      <c r="A282" s="14" t="n">
        <v>45627</v>
      </c>
      <c r="B282" s="6" t="s">
        <v>29</v>
      </c>
      <c r="C282" s="6" t="s">
        <v>70</v>
      </c>
      <c r="D282" s="0" t="str">
        <f aca="false">INDEX(Clientes!$B$4:$B$15,MATCH(B282,Clientes!$A$4:$A$15,0))</f>
        <v>Distribuidora Los Andes S.A.</v>
      </c>
      <c r="E282" s="0" t="str">
        <f aca="false">INDEX(Catalogo_Servicios!$C$4:$C$24,MATCH(C282,Catalogo_Servicios!$A$4:$A$24,0))</f>
        <v>Estados financieros anuales / cierre fiscal</v>
      </c>
      <c r="F282" s="15" t="n">
        <v>6</v>
      </c>
      <c r="G282" s="16" t="n">
        <f aca="false">Parametros!$B$4</f>
        <v>28681</v>
      </c>
      <c r="H282" s="15" t="n">
        <f aca="false">INDEX(Clientes!$E$4:$E$15,MATCH(B282,Clientes!$A$4:$A$15,0))</f>
        <v>1</v>
      </c>
      <c r="I282" s="16" t="n">
        <f aca="false">ROUND(F282*G282*H282,0)</f>
        <v>172086</v>
      </c>
    </row>
    <row r="283" customFormat="false" ht="15" hidden="false" customHeight="false" outlineLevel="0" collapsed="false">
      <c r="A283" s="14" t="n">
        <v>45627</v>
      </c>
      <c r="B283" s="6" t="s">
        <v>30</v>
      </c>
      <c r="C283" s="6" t="s">
        <v>64</v>
      </c>
      <c r="D283" s="0" t="str">
        <f aca="false">INDEX(Clientes!$B$4:$B$15,MATCH(B283,Clientes!$A$4:$A$15,0))</f>
        <v>Ferretería El Tornillo</v>
      </c>
      <c r="E283" s="0" t="str">
        <f aca="false">INDEX(Catalogo_Servicios!$C$4:$C$24,MATCH(C283,Catalogo_Servicios!$A$4:$A$24,0))</f>
        <v>Estados financieros mensuales</v>
      </c>
      <c r="F283" s="15" t="n">
        <v>3.25</v>
      </c>
      <c r="G283" s="16" t="n">
        <f aca="false">Parametros!$B$4</f>
        <v>28681</v>
      </c>
      <c r="H283" s="15" t="n">
        <f aca="false">INDEX(Clientes!$E$4:$E$15,MATCH(B283,Clientes!$A$4:$A$15,0))</f>
        <v>1</v>
      </c>
      <c r="I283" s="16" t="n">
        <f aca="false">ROUND(F283*G283*H283,0)</f>
        <v>93213</v>
      </c>
    </row>
    <row r="284" customFormat="false" ht="15" hidden="false" customHeight="false" outlineLevel="0" collapsed="false">
      <c r="A284" s="14" t="n">
        <v>45627</v>
      </c>
      <c r="B284" s="6" t="s">
        <v>30</v>
      </c>
      <c r="C284" s="6" t="s">
        <v>65</v>
      </c>
      <c r="D284" s="0" t="str">
        <f aca="false">INDEX(Clientes!$B$4:$B$15,MATCH(B284,Clientes!$A$4:$A$15,0))</f>
        <v>Ferretería El Tornillo</v>
      </c>
      <c r="E284" s="0" t="str">
        <f aca="false">INDEX(Catalogo_Servicios!$C$4:$C$24,MATCH(C284,Catalogo_Servicios!$A$4:$A$24,0))</f>
        <v>Declaración mensual de IVA (D-104)</v>
      </c>
      <c r="F284" s="15" t="n">
        <v>0.75</v>
      </c>
      <c r="G284" s="16" t="n">
        <f aca="false">Parametros!$B$4</f>
        <v>28681</v>
      </c>
      <c r="H284" s="15" t="n">
        <f aca="false">INDEX(Clientes!$E$4:$E$15,MATCH(B284,Clientes!$A$4:$A$15,0))</f>
        <v>1</v>
      </c>
      <c r="I284" s="16" t="n">
        <f aca="false">ROUND(F284*G284*H284,0)</f>
        <v>21511</v>
      </c>
    </row>
    <row r="285" customFormat="false" ht="15" hidden="false" customHeight="false" outlineLevel="0" collapsed="false">
      <c r="A285" s="14" t="n">
        <v>45627</v>
      </c>
      <c r="B285" s="6" t="s">
        <v>30</v>
      </c>
      <c r="C285" s="6" t="s">
        <v>66</v>
      </c>
      <c r="D285" s="0" t="str">
        <f aca="false">INDEX(Clientes!$B$4:$B$15,MATCH(B285,Clientes!$A$4:$A$15,0))</f>
        <v>Ferretería El Tornillo</v>
      </c>
      <c r="E285" s="0" t="str">
        <f aca="false">INDEX(Catalogo_Servicios!$C$4:$C$24,MATCH(C285,Catalogo_Servicios!$A$4:$A$24,0))</f>
        <v>Declaración mensual de retenciones (D-103)</v>
      </c>
      <c r="F285" s="15" t="n">
        <v>0.25</v>
      </c>
      <c r="G285" s="16" t="n">
        <f aca="false">Parametros!$B$4</f>
        <v>28681</v>
      </c>
      <c r="H285" s="15" t="n">
        <f aca="false">INDEX(Clientes!$E$4:$E$15,MATCH(B285,Clientes!$A$4:$A$15,0))</f>
        <v>1</v>
      </c>
      <c r="I285" s="16" t="n">
        <f aca="false">ROUND(F285*G285*H285,0)</f>
        <v>7170</v>
      </c>
    </row>
    <row r="286" customFormat="false" ht="15" hidden="false" customHeight="false" outlineLevel="0" collapsed="false">
      <c r="A286" s="14" t="n">
        <v>45627</v>
      </c>
      <c r="B286" s="6" t="s">
        <v>31</v>
      </c>
      <c r="C286" s="6" t="s">
        <v>65</v>
      </c>
      <c r="D286" s="0" t="str">
        <f aca="false">INDEX(Clientes!$B$4:$B$15,MATCH(B286,Clientes!$A$4:$A$15,0))</f>
        <v>Clínica Dental Sonrisa</v>
      </c>
      <c r="E286" s="0" t="str">
        <f aca="false">INDEX(Catalogo_Servicios!$C$4:$C$24,MATCH(C286,Catalogo_Servicios!$A$4:$A$24,0))</f>
        <v>Declaración mensual de IVA (D-104)</v>
      </c>
      <c r="F286" s="15" t="n">
        <v>0.75</v>
      </c>
      <c r="G286" s="16" t="n">
        <f aca="false">Parametros!$B$4</f>
        <v>28681</v>
      </c>
      <c r="H286" s="15" t="n">
        <f aca="false">INDEX(Clientes!$E$4:$E$15,MATCH(B286,Clientes!$A$4:$A$15,0))</f>
        <v>1.1</v>
      </c>
      <c r="I286" s="16" t="n">
        <f aca="false">ROUND(F286*G286*H286,0)</f>
        <v>23662</v>
      </c>
    </row>
    <row r="287" customFormat="false" ht="15" hidden="false" customHeight="false" outlineLevel="0" collapsed="false">
      <c r="A287" s="14" t="n">
        <v>45627</v>
      </c>
      <c r="B287" s="6" t="s">
        <v>31</v>
      </c>
      <c r="C287" s="6" t="s">
        <v>69</v>
      </c>
      <c r="D287" s="0" t="str">
        <f aca="false">INDEX(Clientes!$B$4:$B$15,MATCH(B287,Clientes!$A$4:$A$15,0))</f>
        <v>Clínica Dental Sonrisa</v>
      </c>
      <c r="E287" s="0" t="str">
        <f aca="false">INDEX(Catalogo_Servicios!$C$4:$C$24,MATCH(C287,Catalogo_Servicios!$A$4:$A$24,0))</f>
        <v>Declaración anual de renta (D-101 / D-105)</v>
      </c>
      <c r="F287" s="15" t="n">
        <v>1.75</v>
      </c>
      <c r="G287" s="16" t="n">
        <f aca="false">Parametros!$B$4</f>
        <v>28681</v>
      </c>
      <c r="H287" s="15" t="n">
        <f aca="false">INDEX(Clientes!$E$4:$E$15,MATCH(B287,Clientes!$A$4:$A$15,0))</f>
        <v>1.1</v>
      </c>
      <c r="I287" s="16" t="n">
        <f aca="false">ROUND(F287*G287*H287,0)</f>
        <v>55211</v>
      </c>
    </row>
    <row r="288" customFormat="false" ht="15" hidden="false" customHeight="false" outlineLevel="0" collapsed="false">
      <c r="A288" s="14" t="n">
        <v>45627</v>
      </c>
      <c r="B288" s="6" t="s">
        <v>31</v>
      </c>
      <c r="C288" s="6" t="s">
        <v>74</v>
      </c>
      <c r="D288" s="0" t="str">
        <f aca="false">INDEX(Clientes!$B$4:$B$15,MATCH(B288,Clientes!$A$4:$A$15,0))</f>
        <v>Clínica Dental Sonrisa</v>
      </c>
      <c r="E288" s="0" t="str">
        <f aca="false">INDEX(Catalogo_Servicios!$C$4:$C$24,MATCH(C288,Catalogo_Servicios!$A$4:$A$24,0))</f>
        <v>Certificación de ingresos y estudios generales</v>
      </c>
      <c r="F288" s="15" t="n">
        <v>3</v>
      </c>
      <c r="G288" s="16" t="n">
        <f aca="false">Parametros!$B$4</f>
        <v>28681</v>
      </c>
      <c r="H288" s="15" t="n">
        <f aca="false">INDEX(Clientes!$E$4:$E$15,MATCH(B288,Clientes!$A$4:$A$15,0))</f>
        <v>1.1</v>
      </c>
      <c r="I288" s="16" t="n">
        <f aca="false">ROUND(F288*G288*H288,0)</f>
        <v>94647</v>
      </c>
    </row>
    <row r="289" customFormat="false" ht="15" hidden="false" customHeight="false" outlineLevel="0" collapsed="false">
      <c r="A289" s="14" t="n">
        <v>45627</v>
      </c>
      <c r="B289" s="6" t="s">
        <v>32</v>
      </c>
      <c r="C289" s="6" t="s">
        <v>65</v>
      </c>
      <c r="D289" s="0" t="str">
        <f aca="false">INDEX(Clientes!$B$4:$B$15,MATCH(B289,Clientes!$A$4:$A$15,0))</f>
        <v>Soda y Restaurante Doña Lela</v>
      </c>
      <c r="E289" s="0" t="str">
        <f aca="false">INDEX(Catalogo_Servicios!$C$4:$C$24,MATCH(C289,Catalogo_Servicios!$A$4:$A$24,0))</f>
        <v>Declaración mensual de IVA (D-104)</v>
      </c>
      <c r="F289" s="15" t="n">
        <v>0.75</v>
      </c>
      <c r="G289" s="16" t="n">
        <f aca="false">Parametros!$B$4</f>
        <v>28681</v>
      </c>
      <c r="H289" s="15" t="n">
        <f aca="false">INDEX(Clientes!$E$4:$E$15,MATCH(B289,Clientes!$A$4:$A$15,0))</f>
        <v>1</v>
      </c>
      <c r="I289" s="16" t="n">
        <f aca="false">ROUND(F289*G289*H289,0)</f>
        <v>21511</v>
      </c>
    </row>
    <row r="290" customFormat="false" ht="15" hidden="false" customHeight="false" outlineLevel="0" collapsed="false">
      <c r="A290" s="14" t="n">
        <v>45627</v>
      </c>
      <c r="B290" s="6" t="s">
        <v>32</v>
      </c>
      <c r="C290" s="6" t="s">
        <v>69</v>
      </c>
      <c r="D290" s="0" t="str">
        <f aca="false">INDEX(Clientes!$B$4:$B$15,MATCH(B290,Clientes!$A$4:$A$15,0))</f>
        <v>Soda y Restaurante Doña Lela</v>
      </c>
      <c r="E290" s="0" t="str">
        <f aca="false">INDEX(Catalogo_Servicios!$C$4:$C$24,MATCH(C290,Catalogo_Servicios!$A$4:$A$24,0))</f>
        <v>Declaración anual de renta (D-101 / D-105)</v>
      </c>
      <c r="F290" s="15" t="n">
        <v>1.5</v>
      </c>
      <c r="G290" s="16" t="n">
        <f aca="false">Parametros!$B$4</f>
        <v>28681</v>
      </c>
      <c r="H290" s="15" t="n">
        <f aca="false">INDEX(Clientes!$E$4:$E$15,MATCH(B290,Clientes!$A$4:$A$15,0))</f>
        <v>1</v>
      </c>
      <c r="I290" s="16" t="n">
        <f aca="false">ROUND(F290*G290*H290,0)</f>
        <v>43022</v>
      </c>
    </row>
    <row r="291" customFormat="false" ht="15" hidden="false" customHeight="false" outlineLevel="0" collapsed="false">
      <c r="A291" s="14" t="n">
        <v>45627</v>
      </c>
      <c r="B291" s="6" t="s">
        <v>33</v>
      </c>
      <c r="C291" s="6" t="s">
        <v>65</v>
      </c>
      <c r="D291" s="0" t="str">
        <f aca="false">INDEX(Clientes!$B$4:$B$15,MATCH(B291,Clientes!$A$4:$A$15,0))</f>
        <v>Transportes Rápidos del Valle</v>
      </c>
      <c r="E291" s="0" t="str">
        <f aca="false">INDEX(Catalogo_Servicios!$C$4:$C$24,MATCH(C291,Catalogo_Servicios!$A$4:$A$24,0))</f>
        <v>Declaración mensual de IVA (D-104)</v>
      </c>
      <c r="F291" s="15" t="n">
        <v>0.75</v>
      </c>
      <c r="G291" s="16" t="n">
        <f aca="false">Parametros!$B$4</f>
        <v>28681</v>
      </c>
      <c r="H291" s="15" t="n">
        <f aca="false">INDEX(Clientes!$E$4:$E$15,MATCH(B291,Clientes!$A$4:$A$15,0))</f>
        <v>1</v>
      </c>
      <c r="I291" s="16" t="n">
        <f aca="false">ROUND(F291*G291*H291,0)</f>
        <v>21511</v>
      </c>
    </row>
    <row r="292" customFormat="false" ht="15" hidden="false" customHeight="false" outlineLevel="0" collapsed="false">
      <c r="A292" s="14" t="n">
        <v>45627</v>
      </c>
      <c r="B292" s="6" t="s">
        <v>33</v>
      </c>
      <c r="C292" s="6" t="s">
        <v>66</v>
      </c>
      <c r="D292" s="0" t="str">
        <f aca="false">INDEX(Clientes!$B$4:$B$15,MATCH(B292,Clientes!$A$4:$A$15,0))</f>
        <v>Transportes Rápidos del Valle</v>
      </c>
      <c r="E292" s="0" t="str">
        <f aca="false">INDEX(Catalogo_Servicios!$C$4:$C$24,MATCH(C292,Catalogo_Servicios!$A$4:$A$24,0))</f>
        <v>Declaración mensual de retenciones (D-103)</v>
      </c>
      <c r="F292" s="15" t="n">
        <v>0.25</v>
      </c>
      <c r="G292" s="16" t="n">
        <f aca="false">Parametros!$B$4</f>
        <v>28681</v>
      </c>
      <c r="H292" s="15" t="n">
        <f aca="false">INDEX(Clientes!$E$4:$E$15,MATCH(B292,Clientes!$A$4:$A$15,0))</f>
        <v>1</v>
      </c>
      <c r="I292" s="16" t="n">
        <f aca="false">ROUND(F292*G292*H292,0)</f>
        <v>7170</v>
      </c>
    </row>
    <row r="293" customFormat="false" ht="15" hidden="false" customHeight="false" outlineLevel="0" collapsed="false">
      <c r="A293" s="14" t="n">
        <v>45627</v>
      </c>
      <c r="B293" s="6" t="s">
        <v>33</v>
      </c>
      <c r="C293" s="6" t="s">
        <v>67</v>
      </c>
      <c r="D293" s="0" t="str">
        <f aca="false">INDEX(Clientes!$B$4:$B$15,MATCH(B293,Clientes!$A$4:$A$15,0))</f>
        <v>Transportes Rápidos del Valle</v>
      </c>
      <c r="E293" s="0" t="str">
        <f aca="false">INDEX(Catalogo_Servicios!$C$4:$C$24,MATCH(C293,Catalogo_Servicios!$A$4:$A$24,0))</f>
        <v>Cálculo de planillas y cargas sociales (CCSS/INS)</v>
      </c>
      <c r="F293" s="15" t="n">
        <v>6</v>
      </c>
      <c r="G293" s="16" t="n">
        <f aca="false">Parametros!$B$4</f>
        <v>28681</v>
      </c>
      <c r="H293" s="15" t="n">
        <f aca="false">INDEX(Clientes!$E$4:$E$15,MATCH(B293,Clientes!$A$4:$A$15,0))</f>
        <v>1</v>
      </c>
      <c r="I293" s="16" t="n">
        <f aca="false">ROUND(F293*G293*H293,0)</f>
        <v>172086</v>
      </c>
    </row>
    <row r="294" customFormat="false" ht="15" hidden="false" customHeight="false" outlineLevel="0" collapsed="false">
      <c r="A294" s="14" t="n">
        <v>45627</v>
      </c>
      <c r="B294" s="6" t="s">
        <v>33</v>
      </c>
      <c r="C294" s="6" t="s">
        <v>69</v>
      </c>
      <c r="D294" s="0" t="str">
        <f aca="false">INDEX(Clientes!$B$4:$B$15,MATCH(B294,Clientes!$A$4:$A$15,0))</f>
        <v>Transportes Rápidos del Valle</v>
      </c>
      <c r="E294" s="0" t="str">
        <f aca="false">INDEX(Catalogo_Servicios!$C$4:$C$24,MATCH(C294,Catalogo_Servicios!$A$4:$A$24,0))</f>
        <v>Declaración anual de renta (D-101 / D-105)</v>
      </c>
      <c r="F294" s="15" t="n">
        <v>1.75</v>
      </c>
      <c r="G294" s="16" t="n">
        <f aca="false">Parametros!$B$4</f>
        <v>28681</v>
      </c>
      <c r="H294" s="15" t="n">
        <f aca="false">INDEX(Clientes!$E$4:$E$15,MATCH(B294,Clientes!$A$4:$A$15,0))</f>
        <v>1</v>
      </c>
      <c r="I294" s="16" t="n">
        <f aca="false">ROUND(F294*G294*H294,0)</f>
        <v>50192</v>
      </c>
    </row>
    <row r="295" customFormat="false" ht="15" hidden="false" customHeight="false" outlineLevel="0" collapsed="false">
      <c r="A295" s="14" t="n">
        <v>45627</v>
      </c>
      <c r="B295" s="6" t="s">
        <v>35</v>
      </c>
      <c r="C295" s="6" t="s">
        <v>65</v>
      </c>
      <c r="D295" s="0" t="str">
        <f aca="false">INDEX(Clientes!$B$4:$B$15,MATCH(B295,Clientes!$A$4:$A$15,0))</f>
        <v>Taller Mecánico Hermanos Mora</v>
      </c>
      <c r="E295" s="0" t="str">
        <f aca="false">INDEX(Catalogo_Servicios!$C$4:$C$24,MATCH(C295,Catalogo_Servicios!$A$4:$A$24,0))</f>
        <v>Declaración mensual de IVA (D-104)</v>
      </c>
      <c r="F295" s="15" t="n">
        <v>0.75</v>
      </c>
      <c r="G295" s="16" t="n">
        <f aca="false">Parametros!$B$4</f>
        <v>28681</v>
      </c>
      <c r="H295" s="15" t="n">
        <f aca="false">INDEX(Clientes!$E$4:$E$15,MATCH(B295,Clientes!$A$4:$A$15,0))</f>
        <v>1</v>
      </c>
      <c r="I295" s="16" t="n">
        <f aca="false">ROUND(F295*G295*H295,0)</f>
        <v>21511</v>
      </c>
    </row>
    <row r="296" customFormat="false" ht="15" hidden="false" customHeight="false" outlineLevel="0" collapsed="false">
      <c r="A296" s="14" t="n">
        <v>45627</v>
      </c>
      <c r="B296" s="6" t="s">
        <v>36</v>
      </c>
      <c r="C296" s="6" t="s">
        <v>65</v>
      </c>
      <c r="D296" s="0" t="str">
        <f aca="false">INDEX(Clientes!$B$4:$B$15,MATCH(B296,Clientes!$A$4:$A$15,0))</f>
        <v>Agroservicios Cartago</v>
      </c>
      <c r="E296" s="0" t="str">
        <f aca="false">INDEX(Catalogo_Servicios!$C$4:$C$24,MATCH(C296,Catalogo_Servicios!$A$4:$A$24,0))</f>
        <v>Declaración mensual de IVA (D-104)</v>
      </c>
      <c r="F296" s="15" t="n">
        <v>0.75</v>
      </c>
      <c r="G296" s="16" t="n">
        <f aca="false">Parametros!$B$4</f>
        <v>28681</v>
      </c>
      <c r="H296" s="15" t="n">
        <f aca="false">INDEX(Clientes!$E$4:$E$15,MATCH(B296,Clientes!$A$4:$A$15,0))</f>
        <v>1</v>
      </c>
      <c r="I296" s="16" t="n">
        <f aca="false">ROUND(F296*G296*H296,0)</f>
        <v>21511</v>
      </c>
    </row>
    <row r="297" customFormat="false" ht="15" hidden="false" customHeight="false" outlineLevel="0" collapsed="false">
      <c r="A297" s="14" t="n">
        <v>45627</v>
      </c>
      <c r="B297" s="6" t="s">
        <v>36</v>
      </c>
      <c r="C297" s="6" t="s">
        <v>66</v>
      </c>
      <c r="D297" s="0" t="str">
        <f aca="false">INDEX(Clientes!$B$4:$B$15,MATCH(B297,Clientes!$A$4:$A$15,0))</f>
        <v>Agroservicios Cartago</v>
      </c>
      <c r="E297" s="0" t="str">
        <f aca="false">INDEX(Catalogo_Servicios!$C$4:$C$24,MATCH(C297,Catalogo_Servicios!$A$4:$A$24,0))</f>
        <v>Declaración mensual de retenciones (D-103)</v>
      </c>
      <c r="F297" s="15" t="n">
        <v>0.25</v>
      </c>
      <c r="G297" s="16" t="n">
        <f aca="false">Parametros!$B$4</f>
        <v>28681</v>
      </c>
      <c r="H297" s="15" t="n">
        <f aca="false">INDEX(Clientes!$E$4:$E$15,MATCH(B297,Clientes!$A$4:$A$15,0))</f>
        <v>1</v>
      </c>
      <c r="I297" s="16" t="n">
        <f aca="false">ROUND(F297*G297*H297,0)</f>
        <v>7170</v>
      </c>
    </row>
    <row r="298" customFormat="false" ht="15" hidden="false" customHeight="false" outlineLevel="0" collapsed="false">
      <c r="A298" s="14" t="n">
        <v>45627</v>
      </c>
      <c r="B298" s="6" t="s">
        <v>38</v>
      </c>
      <c r="C298" s="6" t="s">
        <v>65</v>
      </c>
      <c r="D298" s="0" t="str">
        <f aca="false">INDEX(Clientes!$B$4:$B$15,MATCH(B298,Clientes!$A$4:$A$15,0))</f>
        <v>Panadería La Espiga</v>
      </c>
      <c r="E298" s="0" t="str">
        <f aca="false">INDEX(Catalogo_Servicios!$C$4:$C$24,MATCH(C298,Catalogo_Servicios!$A$4:$A$24,0))</f>
        <v>Declaración mensual de IVA (D-104)</v>
      </c>
      <c r="F298" s="15" t="n">
        <v>0.75</v>
      </c>
      <c r="G298" s="16" t="n">
        <f aca="false">Parametros!$B$4</f>
        <v>28681</v>
      </c>
      <c r="H298" s="15" t="n">
        <f aca="false">INDEX(Clientes!$E$4:$E$15,MATCH(B298,Clientes!$A$4:$A$15,0))</f>
        <v>1</v>
      </c>
      <c r="I298" s="16" t="n">
        <f aca="false">ROUND(F298*G298*H298,0)</f>
        <v>21511</v>
      </c>
    </row>
    <row r="299" customFormat="false" ht="15" hidden="false" customHeight="false" outlineLevel="0" collapsed="false">
      <c r="A299" s="14" t="n">
        <v>45627</v>
      </c>
      <c r="B299" s="6" t="s">
        <v>38</v>
      </c>
      <c r="C299" s="6" t="s">
        <v>67</v>
      </c>
      <c r="D299" s="0" t="str">
        <f aca="false">INDEX(Clientes!$B$4:$B$15,MATCH(B299,Clientes!$A$4:$A$15,0))</f>
        <v>Panadería La Espiga</v>
      </c>
      <c r="E299" s="0" t="str">
        <f aca="false">INDEX(Catalogo_Servicios!$C$4:$C$24,MATCH(C299,Catalogo_Servicios!$A$4:$A$24,0))</f>
        <v>Cálculo de planillas y cargas sociales (CCSS/INS)</v>
      </c>
      <c r="F299" s="15" t="n">
        <v>6.5</v>
      </c>
      <c r="G299" s="16" t="n">
        <f aca="false">Parametros!$B$4</f>
        <v>28681</v>
      </c>
      <c r="H299" s="15" t="n">
        <f aca="false">INDEX(Clientes!$E$4:$E$15,MATCH(B299,Clientes!$A$4:$A$15,0))</f>
        <v>1</v>
      </c>
      <c r="I299" s="16" t="n">
        <f aca="false">ROUND(F299*G299*H299,0)</f>
        <v>186427</v>
      </c>
    </row>
    <row r="300" customFormat="false" ht="15" hidden="false" customHeight="false" outlineLevel="0" collapsed="false">
      <c r="A300" s="14" t="n">
        <v>45627</v>
      </c>
      <c r="B300" s="6" t="s">
        <v>38</v>
      </c>
      <c r="C300" s="6" t="s">
        <v>69</v>
      </c>
      <c r="D300" s="0" t="str">
        <f aca="false">INDEX(Clientes!$B$4:$B$15,MATCH(B300,Clientes!$A$4:$A$15,0))</f>
        <v>Panadería La Espiga</v>
      </c>
      <c r="E300" s="0" t="str">
        <f aca="false">INDEX(Catalogo_Servicios!$C$4:$C$24,MATCH(C300,Catalogo_Servicios!$A$4:$A$24,0))</f>
        <v>Declaración anual de renta (D-101 / D-105)</v>
      </c>
      <c r="F300" s="15" t="n">
        <v>1.75</v>
      </c>
      <c r="G300" s="16" t="n">
        <f aca="false">Parametros!$B$4</f>
        <v>28681</v>
      </c>
      <c r="H300" s="15" t="n">
        <f aca="false">INDEX(Clientes!$E$4:$E$15,MATCH(B300,Clientes!$A$4:$A$15,0))</f>
        <v>1</v>
      </c>
      <c r="I300" s="16" t="n">
        <f aca="false">ROUND(F300*G300*H300,0)</f>
        <v>50192</v>
      </c>
    </row>
    <row r="301" customFormat="false" ht="15" hidden="false" customHeight="false" outlineLevel="0" collapsed="false">
      <c r="A301" s="14" t="n">
        <v>45658</v>
      </c>
      <c r="B301" s="6" t="s">
        <v>29</v>
      </c>
      <c r="C301" s="6" t="s">
        <v>64</v>
      </c>
      <c r="D301" s="0" t="str">
        <f aca="false">INDEX(Clientes!$B$4:$B$15,MATCH(B301,Clientes!$A$4:$A$15,0))</f>
        <v>Distribuidora Los Andes S.A.</v>
      </c>
      <c r="E301" s="0" t="str">
        <f aca="false">INDEX(Catalogo_Servicios!$C$4:$C$24,MATCH(C301,Catalogo_Servicios!$A$4:$A$24,0))</f>
        <v>Estados financieros mensuales</v>
      </c>
      <c r="F301" s="15" t="n">
        <v>3</v>
      </c>
      <c r="G301" s="16" t="n">
        <f aca="false">Parametros!$B$4</f>
        <v>28681</v>
      </c>
      <c r="H301" s="15" t="n">
        <f aca="false">INDEX(Clientes!$E$4:$E$15,MATCH(B301,Clientes!$A$4:$A$15,0))</f>
        <v>1</v>
      </c>
      <c r="I301" s="16" t="n">
        <f aca="false">ROUND(F301*G301*H301,0)</f>
        <v>86043</v>
      </c>
    </row>
    <row r="302" customFormat="false" ht="15" hidden="false" customHeight="false" outlineLevel="0" collapsed="false">
      <c r="A302" s="14" t="n">
        <v>45658</v>
      </c>
      <c r="B302" s="6" t="s">
        <v>29</v>
      </c>
      <c r="C302" s="6" t="s">
        <v>65</v>
      </c>
      <c r="D302" s="0" t="str">
        <f aca="false">INDEX(Clientes!$B$4:$B$15,MATCH(B302,Clientes!$A$4:$A$15,0))</f>
        <v>Distribuidora Los Andes S.A.</v>
      </c>
      <c r="E302" s="0" t="str">
        <f aca="false">INDEX(Catalogo_Servicios!$C$4:$C$24,MATCH(C302,Catalogo_Servicios!$A$4:$A$24,0))</f>
        <v>Declaración mensual de IVA (D-104)</v>
      </c>
      <c r="F302" s="15" t="n">
        <v>0.75</v>
      </c>
      <c r="G302" s="16" t="n">
        <f aca="false">Parametros!$B$4</f>
        <v>28681</v>
      </c>
      <c r="H302" s="15" t="n">
        <f aca="false">INDEX(Clientes!$E$4:$E$15,MATCH(B302,Clientes!$A$4:$A$15,0))</f>
        <v>1</v>
      </c>
      <c r="I302" s="16" t="n">
        <f aca="false">ROUND(F302*G302*H302,0)</f>
        <v>21511</v>
      </c>
    </row>
    <row r="303" customFormat="false" ht="15" hidden="false" customHeight="false" outlineLevel="0" collapsed="false">
      <c r="A303" s="14" t="n">
        <v>45658</v>
      </c>
      <c r="B303" s="6" t="s">
        <v>29</v>
      </c>
      <c r="C303" s="6" t="s">
        <v>66</v>
      </c>
      <c r="D303" s="0" t="str">
        <f aca="false">INDEX(Clientes!$B$4:$B$15,MATCH(B303,Clientes!$A$4:$A$15,0))</f>
        <v>Distribuidora Los Andes S.A.</v>
      </c>
      <c r="E303" s="0" t="str">
        <f aca="false">INDEX(Catalogo_Servicios!$C$4:$C$24,MATCH(C303,Catalogo_Servicios!$A$4:$A$24,0))</f>
        <v>Declaración mensual de retenciones (D-103)</v>
      </c>
      <c r="F303" s="15" t="n">
        <v>0.25</v>
      </c>
      <c r="G303" s="16" t="n">
        <f aca="false">Parametros!$B$4</f>
        <v>28681</v>
      </c>
      <c r="H303" s="15" t="n">
        <f aca="false">INDEX(Clientes!$E$4:$E$15,MATCH(B303,Clientes!$A$4:$A$15,0))</f>
        <v>1</v>
      </c>
      <c r="I303" s="16" t="n">
        <f aca="false">ROUND(F303*G303*H303,0)</f>
        <v>7170</v>
      </c>
    </row>
    <row r="304" customFormat="false" ht="15" hidden="false" customHeight="false" outlineLevel="0" collapsed="false">
      <c r="A304" s="14" t="n">
        <v>45658</v>
      </c>
      <c r="B304" s="6" t="s">
        <v>29</v>
      </c>
      <c r="C304" s="6" t="s">
        <v>67</v>
      </c>
      <c r="D304" s="0" t="str">
        <f aca="false">INDEX(Clientes!$B$4:$B$15,MATCH(B304,Clientes!$A$4:$A$15,0))</f>
        <v>Distribuidora Los Andes S.A.</v>
      </c>
      <c r="E304" s="0" t="str">
        <f aca="false">INDEX(Catalogo_Servicios!$C$4:$C$24,MATCH(C304,Catalogo_Servicios!$A$4:$A$24,0))</f>
        <v>Cálculo de planillas y cargas sociales (CCSS/INS)</v>
      </c>
      <c r="F304" s="15" t="n">
        <v>22.5</v>
      </c>
      <c r="G304" s="16" t="n">
        <f aca="false">Parametros!$B$4</f>
        <v>28681</v>
      </c>
      <c r="H304" s="15" t="n">
        <f aca="false">INDEX(Clientes!$E$4:$E$15,MATCH(B304,Clientes!$A$4:$A$15,0))</f>
        <v>1</v>
      </c>
      <c r="I304" s="16" t="n">
        <f aca="false">ROUND(F304*G304*H304,0)</f>
        <v>645323</v>
      </c>
    </row>
    <row r="305" customFormat="false" ht="15" hidden="false" customHeight="false" outlineLevel="0" collapsed="false">
      <c r="A305" s="14" t="n">
        <v>45658</v>
      </c>
      <c r="B305" s="6" t="s">
        <v>29</v>
      </c>
      <c r="C305" s="6" t="s">
        <v>71</v>
      </c>
      <c r="D305" s="0" t="str">
        <f aca="false">INDEX(Clientes!$B$4:$B$15,MATCH(B305,Clientes!$A$4:$A$15,0))</f>
        <v>Distribuidora Los Andes S.A.</v>
      </c>
      <c r="E305" s="0" t="str">
        <f aca="false">INDEX(Catalogo_Servicios!$C$4:$C$24,MATCH(C305,Catalogo_Servicios!$A$4:$A$24,0))</f>
        <v>Conciliación anual de planillas (INS/CCSS)</v>
      </c>
      <c r="F305" s="15" t="n">
        <v>2</v>
      </c>
      <c r="G305" s="16" t="n">
        <f aca="false">Parametros!$B$4</f>
        <v>28681</v>
      </c>
      <c r="H305" s="15" t="n">
        <f aca="false">INDEX(Clientes!$E$4:$E$15,MATCH(B305,Clientes!$A$4:$A$15,0))</f>
        <v>1</v>
      </c>
      <c r="I305" s="16" t="n">
        <f aca="false">ROUND(F305*G305*H305,0)</f>
        <v>57362</v>
      </c>
    </row>
    <row r="306" customFormat="false" ht="15" hidden="false" customHeight="false" outlineLevel="0" collapsed="false">
      <c r="A306" s="14" t="n">
        <v>45658</v>
      </c>
      <c r="B306" s="6" t="s">
        <v>30</v>
      </c>
      <c r="C306" s="6" t="s">
        <v>68</v>
      </c>
      <c r="D306" s="0" t="str">
        <f aca="false">INDEX(Clientes!$B$4:$B$15,MATCH(B306,Clientes!$A$4:$A$15,0))</f>
        <v>Ferretería El Tornillo</v>
      </c>
      <c r="E306" s="0" t="str">
        <f aca="false">INDEX(Catalogo_Servicios!$C$4:$C$24,MATCH(C306,Catalogo_Servicios!$A$4:$A$24,0))</f>
        <v>Asesoría contable, financiera y tributaria</v>
      </c>
      <c r="F306" s="15" t="n">
        <v>1</v>
      </c>
      <c r="G306" s="16" t="n">
        <f aca="false">Parametros!$B$4</f>
        <v>28681</v>
      </c>
      <c r="H306" s="15" t="n">
        <f aca="false">INDEX(Clientes!$E$4:$E$15,MATCH(B306,Clientes!$A$4:$A$15,0))</f>
        <v>1</v>
      </c>
      <c r="I306" s="16" t="n">
        <f aca="false">ROUND(F306*G306*H306,0)</f>
        <v>28681</v>
      </c>
    </row>
    <row r="307" customFormat="false" ht="15" hidden="false" customHeight="false" outlineLevel="0" collapsed="false">
      <c r="A307" s="14" t="n">
        <v>45658</v>
      </c>
      <c r="B307" s="6" t="s">
        <v>30</v>
      </c>
      <c r="C307" s="6" t="s">
        <v>64</v>
      </c>
      <c r="D307" s="0" t="str">
        <f aca="false">INDEX(Clientes!$B$4:$B$15,MATCH(B307,Clientes!$A$4:$A$15,0))</f>
        <v>Ferretería El Tornillo</v>
      </c>
      <c r="E307" s="0" t="str">
        <f aca="false">INDEX(Catalogo_Servicios!$C$4:$C$24,MATCH(C307,Catalogo_Servicios!$A$4:$A$24,0))</f>
        <v>Estados financieros mensuales</v>
      </c>
      <c r="F307" s="15" t="n">
        <v>3</v>
      </c>
      <c r="G307" s="16" t="n">
        <f aca="false">Parametros!$B$4</f>
        <v>28681</v>
      </c>
      <c r="H307" s="15" t="n">
        <f aca="false">INDEX(Clientes!$E$4:$E$15,MATCH(B307,Clientes!$A$4:$A$15,0))</f>
        <v>1</v>
      </c>
      <c r="I307" s="16" t="n">
        <f aca="false">ROUND(F307*G307*H307,0)</f>
        <v>86043</v>
      </c>
    </row>
    <row r="308" customFormat="false" ht="15" hidden="false" customHeight="false" outlineLevel="0" collapsed="false">
      <c r="A308" s="14" t="n">
        <v>45658</v>
      </c>
      <c r="B308" s="6" t="s">
        <v>30</v>
      </c>
      <c r="C308" s="6" t="s">
        <v>65</v>
      </c>
      <c r="D308" s="0" t="str">
        <f aca="false">INDEX(Clientes!$B$4:$B$15,MATCH(B308,Clientes!$A$4:$A$15,0))</f>
        <v>Ferretería El Tornillo</v>
      </c>
      <c r="E308" s="0" t="str">
        <f aca="false">INDEX(Catalogo_Servicios!$C$4:$C$24,MATCH(C308,Catalogo_Servicios!$A$4:$A$24,0))</f>
        <v>Declaración mensual de IVA (D-104)</v>
      </c>
      <c r="F308" s="15" t="n">
        <v>0.75</v>
      </c>
      <c r="G308" s="16" t="n">
        <f aca="false">Parametros!$B$4</f>
        <v>28681</v>
      </c>
      <c r="H308" s="15" t="n">
        <f aca="false">INDEX(Clientes!$E$4:$E$15,MATCH(B308,Clientes!$A$4:$A$15,0))</f>
        <v>1</v>
      </c>
      <c r="I308" s="16" t="n">
        <f aca="false">ROUND(F308*G308*H308,0)</f>
        <v>21511</v>
      </c>
    </row>
    <row r="309" customFormat="false" ht="15" hidden="false" customHeight="false" outlineLevel="0" collapsed="false">
      <c r="A309" s="14" t="n">
        <v>45658</v>
      </c>
      <c r="B309" s="6" t="s">
        <v>30</v>
      </c>
      <c r="C309" s="6" t="s">
        <v>66</v>
      </c>
      <c r="D309" s="0" t="str">
        <f aca="false">INDEX(Clientes!$B$4:$B$15,MATCH(B309,Clientes!$A$4:$A$15,0))</f>
        <v>Ferretería El Tornillo</v>
      </c>
      <c r="E309" s="0" t="str">
        <f aca="false">INDEX(Catalogo_Servicios!$C$4:$C$24,MATCH(C309,Catalogo_Servicios!$A$4:$A$24,0))</f>
        <v>Declaración mensual de retenciones (D-103)</v>
      </c>
      <c r="F309" s="15" t="n">
        <v>0.25</v>
      </c>
      <c r="G309" s="16" t="n">
        <f aca="false">Parametros!$B$4</f>
        <v>28681</v>
      </c>
      <c r="H309" s="15" t="n">
        <f aca="false">INDEX(Clientes!$E$4:$E$15,MATCH(B309,Clientes!$A$4:$A$15,0))</f>
        <v>1</v>
      </c>
      <c r="I309" s="16" t="n">
        <f aca="false">ROUND(F309*G309*H309,0)</f>
        <v>7170</v>
      </c>
    </row>
    <row r="310" customFormat="false" ht="15" hidden="false" customHeight="false" outlineLevel="0" collapsed="false">
      <c r="A310" s="14" t="n">
        <v>45658</v>
      </c>
      <c r="B310" s="6" t="s">
        <v>31</v>
      </c>
      <c r="C310" s="6" t="s">
        <v>65</v>
      </c>
      <c r="D310" s="0" t="str">
        <f aca="false">INDEX(Clientes!$B$4:$B$15,MATCH(B310,Clientes!$A$4:$A$15,0))</f>
        <v>Clínica Dental Sonrisa</v>
      </c>
      <c r="E310" s="0" t="str">
        <f aca="false">INDEX(Catalogo_Servicios!$C$4:$C$24,MATCH(C310,Catalogo_Servicios!$A$4:$A$24,0))</f>
        <v>Declaración mensual de IVA (D-104)</v>
      </c>
      <c r="F310" s="15" t="n">
        <v>0.75</v>
      </c>
      <c r="G310" s="16" t="n">
        <f aca="false">Parametros!$B$4</f>
        <v>28681</v>
      </c>
      <c r="H310" s="15" t="n">
        <f aca="false">INDEX(Clientes!$E$4:$E$15,MATCH(B310,Clientes!$A$4:$A$15,0))</f>
        <v>1.1</v>
      </c>
      <c r="I310" s="16" t="n">
        <f aca="false">ROUND(F310*G310*H310,0)</f>
        <v>23662</v>
      </c>
    </row>
    <row r="311" customFormat="false" ht="15" hidden="false" customHeight="false" outlineLevel="0" collapsed="false">
      <c r="A311" s="14" t="n">
        <v>45658</v>
      </c>
      <c r="B311" s="6" t="s">
        <v>32</v>
      </c>
      <c r="C311" s="6" t="s">
        <v>65</v>
      </c>
      <c r="D311" s="0" t="str">
        <f aca="false">INDEX(Clientes!$B$4:$B$15,MATCH(B311,Clientes!$A$4:$A$15,0))</f>
        <v>Soda y Restaurante Doña Lela</v>
      </c>
      <c r="E311" s="0" t="str">
        <f aca="false">INDEX(Catalogo_Servicios!$C$4:$C$24,MATCH(C311,Catalogo_Servicios!$A$4:$A$24,0))</f>
        <v>Declaración mensual de IVA (D-104)</v>
      </c>
      <c r="F311" s="15" t="n">
        <v>0.75</v>
      </c>
      <c r="G311" s="16" t="n">
        <f aca="false">Parametros!$B$4</f>
        <v>28681</v>
      </c>
      <c r="H311" s="15" t="n">
        <f aca="false">INDEX(Clientes!$E$4:$E$15,MATCH(B311,Clientes!$A$4:$A$15,0))</f>
        <v>1</v>
      </c>
      <c r="I311" s="16" t="n">
        <f aca="false">ROUND(F311*G311*H311,0)</f>
        <v>21511</v>
      </c>
    </row>
    <row r="312" customFormat="false" ht="15" hidden="false" customHeight="false" outlineLevel="0" collapsed="false">
      <c r="A312" s="14" t="n">
        <v>45658</v>
      </c>
      <c r="B312" s="6" t="s">
        <v>33</v>
      </c>
      <c r="C312" s="6" t="s">
        <v>65</v>
      </c>
      <c r="D312" s="0" t="str">
        <f aca="false">INDEX(Clientes!$B$4:$B$15,MATCH(B312,Clientes!$A$4:$A$15,0))</f>
        <v>Transportes Rápidos del Valle</v>
      </c>
      <c r="E312" s="0" t="str">
        <f aca="false">INDEX(Catalogo_Servicios!$C$4:$C$24,MATCH(C312,Catalogo_Servicios!$A$4:$A$24,0))</f>
        <v>Declaración mensual de IVA (D-104)</v>
      </c>
      <c r="F312" s="15" t="n">
        <v>0.75</v>
      </c>
      <c r="G312" s="16" t="n">
        <f aca="false">Parametros!$B$4</f>
        <v>28681</v>
      </c>
      <c r="H312" s="15" t="n">
        <f aca="false">INDEX(Clientes!$E$4:$E$15,MATCH(B312,Clientes!$A$4:$A$15,0))</f>
        <v>1</v>
      </c>
      <c r="I312" s="16" t="n">
        <f aca="false">ROUND(F312*G312*H312,0)</f>
        <v>21511</v>
      </c>
    </row>
    <row r="313" customFormat="false" ht="15" hidden="false" customHeight="false" outlineLevel="0" collapsed="false">
      <c r="A313" s="14" t="n">
        <v>45658</v>
      </c>
      <c r="B313" s="6" t="s">
        <v>33</v>
      </c>
      <c r="C313" s="6" t="s">
        <v>66</v>
      </c>
      <c r="D313" s="0" t="str">
        <f aca="false">INDEX(Clientes!$B$4:$B$15,MATCH(B313,Clientes!$A$4:$A$15,0))</f>
        <v>Transportes Rápidos del Valle</v>
      </c>
      <c r="E313" s="0" t="str">
        <f aca="false">INDEX(Catalogo_Servicios!$C$4:$C$24,MATCH(C313,Catalogo_Servicios!$A$4:$A$24,0))</f>
        <v>Declaración mensual de retenciones (D-103)</v>
      </c>
      <c r="F313" s="15" t="n">
        <v>0.25</v>
      </c>
      <c r="G313" s="16" t="n">
        <f aca="false">Parametros!$B$4</f>
        <v>28681</v>
      </c>
      <c r="H313" s="15" t="n">
        <f aca="false">INDEX(Clientes!$E$4:$E$15,MATCH(B313,Clientes!$A$4:$A$15,0))</f>
        <v>1</v>
      </c>
      <c r="I313" s="16" t="n">
        <f aca="false">ROUND(F313*G313*H313,0)</f>
        <v>7170</v>
      </c>
    </row>
    <row r="314" customFormat="false" ht="15" hidden="false" customHeight="false" outlineLevel="0" collapsed="false">
      <c r="A314" s="14" t="n">
        <v>45658</v>
      </c>
      <c r="B314" s="6" t="s">
        <v>33</v>
      </c>
      <c r="C314" s="6" t="s">
        <v>67</v>
      </c>
      <c r="D314" s="0" t="str">
        <f aca="false">INDEX(Clientes!$B$4:$B$15,MATCH(B314,Clientes!$A$4:$A$15,0))</f>
        <v>Transportes Rápidos del Valle</v>
      </c>
      <c r="E314" s="0" t="str">
        <f aca="false">INDEX(Catalogo_Servicios!$C$4:$C$24,MATCH(C314,Catalogo_Servicios!$A$4:$A$24,0))</f>
        <v>Cálculo de planillas y cargas sociales (CCSS/INS)</v>
      </c>
      <c r="F314" s="15" t="n">
        <v>5.5</v>
      </c>
      <c r="G314" s="16" t="n">
        <f aca="false">Parametros!$B$4</f>
        <v>28681</v>
      </c>
      <c r="H314" s="15" t="n">
        <f aca="false">INDEX(Clientes!$E$4:$E$15,MATCH(B314,Clientes!$A$4:$A$15,0))</f>
        <v>1</v>
      </c>
      <c r="I314" s="16" t="n">
        <f aca="false">ROUND(F314*G314*H314,0)</f>
        <v>157746</v>
      </c>
    </row>
    <row r="315" customFormat="false" ht="15" hidden="false" customHeight="false" outlineLevel="0" collapsed="false">
      <c r="A315" s="14" t="n">
        <v>45658</v>
      </c>
      <c r="B315" s="6" t="s">
        <v>33</v>
      </c>
      <c r="C315" s="6" t="s">
        <v>70</v>
      </c>
      <c r="D315" s="0" t="str">
        <f aca="false">INDEX(Clientes!$B$4:$B$15,MATCH(B315,Clientes!$A$4:$A$15,0))</f>
        <v>Transportes Rápidos del Valle</v>
      </c>
      <c r="E315" s="0" t="str">
        <f aca="false">INDEX(Catalogo_Servicios!$C$4:$C$24,MATCH(C315,Catalogo_Servicios!$A$4:$A$24,0))</f>
        <v>Estados financieros anuales / cierre fiscal</v>
      </c>
      <c r="F315" s="15" t="n">
        <v>6</v>
      </c>
      <c r="G315" s="16" t="n">
        <f aca="false">Parametros!$B$4</f>
        <v>28681</v>
      </c>
      <c r="H315" s="15" t="n">
        <f aca="false">INDEX(Clientes!$E$4:$E$15,MATCH(B315,Clientes!$A$4:$A$15,0))</f>
        <v>1</v>
      </c>
      <c r="I315" s="16" t="n">
        <f aca="false">ROUND(F315*G315*H315,0)</f>
        <v>172086</v>
      </c>
    </row>
    <row r="316" customFormat="false" ht="15" hidden="false" customHeight="false" outlineLevel="0" collapsed="false">
      <c r="A316" s="14" t="n">
        <v>45658</v>
      </c>
      <c r="B316" s="6" t="s">
        <v>33</v>
      </c>
      <c r="C316" s="6" t="s">
        <v>71</v>
      </c>
      <c r="D316" s="0" t="str">
        <f aca="false">INDEX(Clientes!$B$4:$B$15,MATCH(B316,Clientes!$A$4:$A$15,0))</f>
        <v>Transportes Rápidos del Valle</v>
      </c>
      <c r="E316" s="0" t="str">
        <f aca="false">INDEX(Catalogo_Servicios!$C$4:$C$24,MATCH(C316,Catalogo_Servicios!$A$4:$A$24,0))</f>
        <v>Conciliación anual de planillas (INS/CCSS)</v>
      </c>
      <c r="F316" s="15" t="n">
        <v>2</v>
      </c>
      <c r="G316" s="16" t="n">
        <f aca="false">Parametros!$B$4</f>
        <v>28681</v>
      </c>
      <c r="H316" s="15" t="n">
        <f aca="false">INDEX(Clientes!$E$4:$E$15,MATCH(B316,Clientes!$A$4:$A$15,0))</f>
        <v>1</v>
      </c>
      <c r="I316" s="16" t="n">
        <f aca="false">ROUND(F316*G316*H316,0)</f>
        <v>57362</v>
      </c>
    </row>
    <row r="317" customFormat="false" ht="15" hidden="false" customHeight="false" outlineLevel="0" collapsed="false">
      <c r="A317" s="14" t="n">
        <v>45658</v>
      </c>
      <c r="B317" s="6" t="s">
        <v>35</v>
      </c>
      <c r="C317" s="6" t="s">
        <v>65</v>
      </c>
      <c r="D317" s="0" t="str">
        <f aca="false">INDEX(Clientes!$B$4:$B$15,MATCH(B317,Clientes!$A$4:$A$15,0))</f>
        <v>Taller Mecánico Hermanos Mora</v>
      </c>
      <c r="E317" s="0" t="str">
        <f aca="false">INDEX(Catalogo_Servicios!$C$4:$C$24,MATCH(C317,Catalogo_Servicios!$A$4:$A$24,0))</f>
        <v>Declaración mensual de IVA (D-104)</v>
      </c>
      <c r="F317" s="15" t="n">
        <v>0.75</v>
      </c>
      <c r="G317" s="16" t="n">
        <f aca="false">Parametros!$B$4</f>
        <v>28681</v>
      </c>
      <c r="H317" s="15" t="n">
        <f aca="false">INDEX(Clientes!$E$4:$E$15,MATCH(B317,Clientes!$A$4:$A$15,0))</f>
        <v>1</v>
      </c>
      <c r="I317" s="16" t="n">
        <f aca="false">ROUND(F317*G317*H317,0)</f>
        <v>21511</v>
      </c>
    </row>
    <row r="318" customFormat="false" ht="15" hidden="false" customHeight="false" outlineLevel="0" collapsed="false">
      <c r="A318" s="14" t="n">
        <v>45658</v>
      </c>
      <c r="B318" s="6" t="s">
        <v>36</v>
      </c>
      <c r="C318" s="6" t="s">
        <v>65</v>
      </c>
      <c r="D318" s="0" t="str">
        <f aca="false">INDEX(Clientes!$B$4:$B$15,MATCH(B318,Clientes!$A$4:$A$15,0))</f>
        <v>Agroservicios Cartago</v>
      </c>
      <c r="E318" s="0" t="str">
        <f aca="false">INDEX(Catalogo_Servicios!$C$4:$C$24,MATCH(C318,Catalogo_Servicios!$A$4:$A$24,0))</f>
        <v>Declaración mensual de IVA (D-104)</v>
      </c>
      <c r="F318" s="15" t="n">
        <v>0.75</v>
      </c>
      <c r="G318" s="16" t="n">
        <f aca="false">Parametros!$B$4</f>
        <v>28681</v>
      </c>
      <c r="H318" s="15" t="n">
        <f aca="false">INDEX(Clientes!$E$4:$E$15,MATCH(B318,Clientes!$A$4:$A$15,0))</f>
        <v>1</v>
      </c>
      <c r="I318" s="16" t="n">
        <f aca="false">ROUND(F318*G318*H318,0)</f>
        <v>21511</v>
      </c>
    </row>
    <row r="319" customFormat="false" ht="15" hidden="false" customHeight="false" outlineLevel="0" collapsed="false">
      <c r="A319" s="14" t="n">
        <v>45658</v>
      </c>
      <c r="B319" s="6" t="s">
        <v>36</v>
      </c>
      <c r="C319" s="6" t="s">
        <v>66</v>
      </c>
      <c r="D319" s="0" t="str">
        <f aca="false">INDEX(Clientes!$B$4:$B$15,MATCH(B319,Clientes!$A$4:$A$15,0))</f>
        <v>Agroservicios Cartago</v>
      </c>
      <c r="E319" s="0" t="str">
        <f aca="false">INDEX(Catalogo_Servicios!$C$4:$C$24,MATCH(C319,Catalogo_Servicios!$A$4:$A$24,0))</f>
        <v>Declaración mensual de retenciones (D-103)</v>
      </c>
      <c r="F319" s="15" t="n">
        <v>0.25</v>
      </c>
      <c r="G319" s="16" t="n">
        <f aca="false">Parametros!$B$4</f>
        <v>28681</v>
      </c>
      <c r="H319" s="15" t="n">
        <f aca="false">INDEX(Clientes!$E$4:$E$15,MATCH(B319,Clientes!$A$4:$A$15,0))</f>
        <v>1</v>
      </c>
      <c r="I319" s="16" t="n">
        <f aca="false">ROUND(F319*G319*H319,0)</f>
        <v>7170</v>
      </c>
    </row>
    <row r="320" customFormat="false" ht="15" hidden="false" customHeight="false" outlineLevel="0" collapsed="false">
      <c r="A320" s="14" t="n">
        <v>45658</v>
      </c>
      <c r="B320" s="6" t="s">
        <v>38</v>
      </c>
      <c r="C320" s="6" t="s">
        <v>65</v>
      </c>
      <c r="D320" s="0" t="str">
        <f aca="false">INDEX(Clientes!$B$4:$B$15,MATCH(B320,Clientes!$A$4:$A$15,0))</f>
        <v>Panadería La Espiga</v>
      </c>
      <c r="E320" s="0" t="str">
        <f aca="false">INDEX(Catalogo_Servicios!$C$4:$C$24,MATCH(C320,Catalogo_Servicios!$A$4:$A$24,0))</f>
        <v>Declaración mensual de IVA (D-104)</v>
      </c>
      <c r="F320" s="15" t="n">
        <v>0.75</v>
      </c>
      <c r="G320" s="16" t="n">
        <f aca="false">Parametros!$B$4</f>
        <v>28681</v>
      </c>
      <c r="H320" s="15" t="n">
        <f aca="false">INDEX(Clientes!$E$4:$E$15,MATCH(B320,Clientes!$A$4:$A$15,0))</f>
        <v>1</v>
      </c>
      <c r="I320" s="16" t="n">
        <f aca="false">ROUND(F320*G320*H320,0)</f>
        <v>21511</v>
      </c>
    </row>
    <row r="321" customFormat="false" ht="15" hidden="false" customHeight="false" outlineLevel="0" collapsed="false">
      <c r="A321" s="14" t="n">
        <v>45658</v>
      </c>
      <c r="B321" s="6" t="s">
        <v>38</v>
      </c>
      <c r="C321" s="6" t="s">
        <v>67</v>
      </c>
      <c r="D321" s="0" t="str">
        <f aca="false">INDEX(Clientes!$B$4:$B$15,MATCH(B321,Clientes!$A$4:$A$15,0))</f>
        <v>Panadería La Espiga</v>
      </c>
      <c r="E321" s="0" t="str">
        <f aca="false">INDEX(Catalogo_Servicios!$C$4:$C$24,MATCH(C321,Catalogo_Servicios!$A$4:$A$24,0))</f>
        <v>Cálculo de planillas y cargas sociales (CCSS/INS)</v>
      </c>
      <c r="F321" s="15" t="n">
        <v>6.5</v>
      </c>
      <c r="G321" s="16" t="n">
        <f aca="false">Parametros!$B$4</f>
        <v>28681</v>
      </c>
      <c r="H321" s="15" t="n">
        <f aca="false">INDEX(Clientes!$E$4:$E$15,MATCH(B321,Clientes!$A$4:$A$15,0))</f>
        <v>1</v>
      </c>
      <c r="I321" s="16" t="n">
        <f aca="false">ROUND(F321*G321*H321,0)</f>
        <v>186427</v>
      </c>
    </row>
    <row r="322" customFormat="false" ht="15" hidden="false" customHeight="false" outlineLevel="0" collapsed="false">
      <c r="A322" s="14" t="n">
        <v>45658</v>
      </c>
      <c r="B322" s="6" t="s">
        <v>38</v>
      </c>
      <c r="C322" s="6" t="s">
        <v>71</v>
      </c>
      <c r="D322" s="0" t="str">
        <f aca="false">INDEX(Clientes!$B$4:$B$15,MATCH(B322,Clientes!$A$4:$A$15,0))</f>
        <v>Panadería La Espiga</v>
      </c>
      <c r="E322" s="0" t="str">
        <f aca="false">INDEX(Catalogo_Servicios!$C$4:$C$24,MATCH(C322,Catalogo_Servicios!$A$4:$A$24,0))</f>
        <v>Conciliación anual de planillas (INS/CCSS)</v>
      </c>
      <c r="F322" s="15" t="n">
        <v>2</v>
      </c>
      <c r="G322" s="16" t="n">
        <f aca="false">Parametros!$B$4</f>
        <v>28681</v>
      </c>
      <c r="H322" s="15" t="n">
        <f aca="false">INDEX(Clientes!$E$4:$E$15,MATCH(B322,Clientes!$A$4:$A$15,0))</f>
        <v>1</v>
      </c>
      <c r="I322" s="16" t="n">
        <f aca="false">ROUND(F322*G322*H322,0)</f>
        <v>57362</v>
      </c>
    </row>
    <row r="323" customFormat="false" ht="15" hidden="false" customHeight="false" outlineLevel="0" collapsed="false">
      <c r="A323" s="14" t="n">
        <v>45689</v>
      </c>
      <c r="B323" s="6" t="s">
        <v>29</v>
      </c>
      <c r="C323" s="6" t="s">
        <v>64</v>
      </c>
      <c r="D323" s="0" t="str">
        <f aca="false">INDEX(Clientes!$B$4:$B$15,MATCH(B323,Clientes!$A$4:$A$15,0))</f>
        <v>Distribuidora Los Andes S.A.</v>
      </c>
      <c r="E323" s="0" t="str">
        <f aca="false">INDEX(Catalogo_Servicios!$C$4:$C$24,MATCH(C323,Catalogo_Servicios!$A$4:$A$24,0))</f>
        <v>Estados financieros mensuales</v>
      </c>
      <c r="F323" s="15" t="n">
        <v>3</v>
      </c>
      <c r="G323" s="16" t="n">
        <f aca="false">Parametros!$B$4</f>
        <v>28681</v>
      </c>
      <c r="H323" s="15" t="n">
        <f aca="false">INDEX(Clientes!$E$4:$E$15,MATCH(B323,Clientes!$A$4:$A$15,0))</f>
        <v>1</v>
      </c>
      <c r="I323" s="16" t="n">
        <f aca="false">ROUND(F323*G323*H323,0)</f>
        <v>86043</v>
      </c>
    </row>
    <row r="324" customFormat="false" ht="15" hidden="false" customHeight="false" outlineLevel="0" collapsed="false">
      <c r="A324" s="14" t="n">
        <v>45689</v>
      </c>
      <c r="B324" s="6" t="s">
        <v>29</v>
      </c>
      <c r="C324" s="6" t="s">
        <v>65</v>
      </c>
      <c r="D324" s="0" t="str">
        <f aca="false">INDEX(Clientes!$B$4:$B$15,MATCH(B324,Clientes!$A$4:$A$15,0))</f>
        <v>Distribuidora Los Andes S.A.</v>
      </c>
      <c r="E324" s="0" t="str">
        <f aca="false">INDEX(Catalogo_Servicios!$C$4:$C$24,MATCH(C324,Catalogo_Servicios!$A$4:$A$24,0))</f>
        <v>Declaración mensual de IVA (D-104)</v>
      </c>
      <c r="F324" s="15" t="n">
        <v>0.75</v>
      </c>
      <c r="G324" s="16" t="n">
        <f aca="false">Parametros!$B$4</f>
        <v>28681</v>
      </c>
      <c r="H324" s="15" t="n">
        <f aca="false">INDEX(Clientes!$E$4:$E$15,MATCH(B324,Clientes!$A$4:$A$15,0))</f>
        <v>1</v>
      </c>
      <c r="I324" s="16" t="n">
        <f aca="false">ROUND(F324*G324*H324,0)</f>
        <v>21511</v>
      </c>
    </row>
    <row r="325" customFormat="false" ht="15" hidden="false" customHeight="false" outlineLevel="0" collapsed="false">
      <c r="A325" s="14" t="n">
        <v>45689</v>
      </c>
      <c r="B325" s="6" t="s">
        <v>29</v>
      </c>
      <c r="C325" s="6" t="s">
        <v>66</v>
      </c>
      <c r="D325" s="0" t="str">
        <f aca="false">INDEX(Clientes!$B$4:$B$15,MATCH(B325,Clientes!$A$4:$A$15,0))</f>
        <v>Distribuidora Los Andes S.A.</v>
      </c>
      <c r="E325" s="0" t="str">
        <f aca="false">INDEX(Catalogo_Servicios!$C$4:$C$24,MATCH(C325,Catalogo_Servicios!$A$4:$A$24,0))</f>
        <v>Declaración mensual de retenciones (D-103)</v>
      </c>
      <c r="F325" s="15" t="n">
        <v>0.25</v>
      </c>
      <c r="G325" s="16" t="n">
        <f aca="false">Parametros!$B$4</f>
        <v>28681</v>
      </c>
      <c r="H325" s="15" t="n">
        <f aca="false">INDEX(Clientes!$E$4:$E$15,MATCH(B325,Clientes!$A$4:$A$15,0))</f>
        <v>1</v>
      </c>
      <c r="I325" s="16" t="n">
        <f aca="false">ROUND(F325*G325*H325,0)</f>
        <v>7170</v>
      </c>
    </row>
    <row r="326" customFormat="false" ht="15" hidden="false" customHeight="false" outlineLevel="0" collapsed="false">
      <c r="A326" s="14" t="n">
        <v>45689</v>
      </c>
      <c r="B326" s="6" t="s">
        <v>29</v>
      </c>
      <c r="C326" s="6" t="s">
        <v>67</v>
      </c>
      <c r="D326" s="0" t="str">
        <f aca="false">INDEX(Clientes!$B$4:$B$15,MATCH(B326,Clientes!$A$4:$A$15,0))</f>
        <v>Distribuidora Los Andes S.A.</v>
      </c>
      <c r="E326" s="0" t="str">
        <f aca="false">INDEX(Catalogo_Servicios!$C$4:$C$24,MATCH(C326,Catalogo_Servicios!$A$4:$A$24,0))</f>
        <v>Cálculo de planillas y cargas sociales (CCSS/INS)</v>
      </c>
      <c r="F326" s="15" t="n">
        <v>21.5</v>
      </c>
      <c r="G326" s="16" t="n">
        <f aca="false">Parametros!$B$4</f>
        <v>28681</v>
      </c>
      <c r="H326" s="15" t="n">
        <f aca="false">INDEX(Clientes!$E$4:$E$15,MATCH(B326,Clientes!$A$4:$A$15,0))</f>
        <v>1</v>
      </c>
      <c r="I326" s="16" t="n">
        <f aca="false">ROUND(F326*G326*H326,0)</f>
        <v>616642</v>
      </c>
    </row>
    <row r="327" customFormat="false" ht="15" hidden="false" customHeight="false" outlineLevel="0" collapsed="false">
      <c r="A327" s="14" t="n">
        <v>45689</v>
      </c>
      <c r="B327" s="6" t="s">
        <v>29</v>
      </c>
      <c r="C327" s="6" t="s">
        <v>72</v>
      </c>
      <c r="D327" s="0" t="str">
        <f aca="false">INDEX(Clientes!$B$4:$B$15,MATCH(B327,Clientes!$A$4:$A$15,0))</f>
        <v>Distribuidora Los Andes S.A.</v>
      </c>
      <c r="E327" s="0" t="str">
        <f aca="false">INDEX(Catalogo_Servicios!$C$4:$C$24,MATCH(C327,Catalogo_Servicios!$A$4:$A$24,0))</f>
        <v>Declaración informativa anual (D-151)</v>
      </c>
      <c r="F327" s="15" t="n">
        <v>0.5</v>
      </c>
      <c r="G327" s="16" t="n">
        <f aca="false">Parametros!$B$4</f>
        <v>28681</v>
      </c>
      <c r="H327" s="15" t="n">
        <f aca="false">INDEX(Clientes!$E$4:$E$15,MATCH(B327,Clientes!$A$4:$A$15,0))</f>
        <v>1</v>
      </c>
      <c r="I327" s="16" t="n">
        <f aca="false">ROUND(F327*G327*H327,0)</f>
        <v>14341</v>
      </c>
    </row>
    <row r="328" customFormat="false" ht="15" hidden="false" customHeight="false" outlineLevel="0" collapsed="false">
      <c r="A328" s="14" t="n">
        <v>45689</v>
      </c>
      <c r="B328" s="6" t="s">
        <v>30</v>
      </c>
      <c r="C328" s="6" t="s">
        <v>64</v>
      </c>
      <c r="D328" s="0" t="str">
        <f aca="false">INDEX(Clientes!$B$4:$B$15,MATCH(B328,Clientes!$A$4:$A$15,0))</f>
        <v>Ferretería El Tornillo</v>
      </c>
      <c r="E328" s="0" t="str">
        <f aca="false">INDEX(Catalogo_Servicios!$C$4:$C$24,MATCH(C328,Catalogo_Servicios!$A$4:$A$24,0))</f>
        <v>Estados financieros mensuales</v>
      </c>
      <c r="F328" s="15" t="n">
        <v>3.25</v>
      </c>
      <c r="G328" s="16" t="n">
        <f aca="false">Parametros!$B$4</f>
        <v>28681</v>
      </c>
      <c r="H328" s="15" t="n">
        <f aca="false">INDEX(Clientes!$E$4:$E$15,MATCH(B328,Clientes!$A$4:$A$15,0))</f>
        <v>1</v>
      </c>
      <c r="I328" s="16" t="n">
        <f aca="false">ROUND(F328*G328*H328,0)</f>
        <v>93213</v>
      </c>
    </row>
    <row r="329" customFormat="false" ht="15" hidden="false" customHeight="false" outlineLevel="0" collapsed="false">
      <c r="A329" s="14" t="n">
        <v>45689</v>
      </c>
      <c r="B329" s="6" t="s">
        <v>30</v>
      </c>
      <c r="C329" s="6" t="s">
        <v>65</v>
      </c>
      <c r="D329" s="0" t="str">
        <f aca="false">INDEX(Clientes!$B$4:$B$15,MATCH(B329,Clientes!$A$4:$A$15,0))</f>
        <v>Ferretería El Tornillo</v>
      </c>
      <c r="E329" s="0" t="str">
        <f aca="false">INDEX(Catalogo_Servicios!$C$4:$C$24,MATCH(C329,Catalogo_Servicios!$A$4:$A$24,0))</f>
        <v>Declaración mensual de IVA (D-104)</v>
      </c>
      <c r="F329" s="15" t="n">
        <v>0.75</v>
      </c>
      <c r="G329" s="16" t="n">
        <f aca="false">Parametros!$B$4</f>
        <v>28681</v>
      </c>
      <c r="H329" s="15" t="n">
        <f aca="false">INDEX(Clientes!$E$4:$E$15,MATCH(B329,Clientes!$A$4:$A$15,0))</f>
        <v>1</v>
      </c>
      <c r="I329" s="16" t="n">
        <f aca="false">ROUND(F329*G329*H329,0)</f>
        <v>21511</v>
      </c>
    </row>
    <row r="330" customFormat="false" ht="15" hidden="false" customHeight="false" outlineLevel="0" collapsed="false">
      <c r="A330" s="14" t="n">
        <v>45689</v>
      </c>
      <c r="B330" s="6" t="s">
        <v>30</v>
      </c>
      <c r="C330" s="6" t="s">
        <v>66</v>
      </c>
      <c r="D330" s="0" t="str">
        <f aca="false">INDEX(Clientes!$B$4:$B$15,MATCH(B330,Clientes!$A$4:$A$15,0))</f>
        <v>Ferretería El Tornillo</v>
      </c>
      <c r="E330" s="0" t="str">
        <f aca="false">INDEX(Catalogo_Servicios!$C$4:$C$24,MATCH(C330,Catalogo_Servicios!$A$4:$A$24,0))</f>
        <v>Declaración mensual de retenciones (D-103)</v>
      </c>
      <c r="F330" s="15" t="n">
        <v>0.25</v>
      </c>
      <c r="G330" s="16" t="n">
        <f aca="false">Parametros!$B$4</f>
        <v>28681</v>
      </c>
      <c r="H330" s="15" t="n">
        <f aca="false">INDEX(Clientes!$E$4:$E$15,MATCH(B330,Clientes!$A$4:$A$15,0))</f>
        <v>1</v>
      </c>
      <c r="I330" s="16" t="n">
        <f aca="false">ROUND(F330*G330*H330,0)</f>
        <v>7170</v>
      </c>
    </row>
    <row r="331" customFormat="false" ht="15" hidden="false" customHeight="false" outlineLevel="0" collapsed="false">
      <c r="A331" s="14" t="n">
        <v>45689</v>
      </c>
      <c r="B331" s="6" t="s">
        <v>30</v>
      </c>
      <c r="C331" s="6" t="s">
        <v>72</v>
      </c>
      <c r="D331" s="0" t="str">
        <f aca="false">INDEX(Clientes!$B$4:$B$15,MATCH(B331,Clientes!$A$4:$A$15,0))</f>
        <v>Ferretería El Tornillo</v>
      </c>
      <c r="E331" s="0" t="str">
        <f aca="false">INDEX(Catalogo_Servicios!$C$4:$C$24,MATCH(C331,Catalogo_Servicios!$A$4:$A$24,0))</f>
        <v>Declaración informativa anual (D-151)</v>
      </c>
      <c r="F331" s="15" t="n">
        <v>0.5</v>
      </c>
      <c r="G331" s="16" t="n">
        <f aca="false">Parametros!$B$4</f>
        <v>28681</v>
      </c>
      <c r="H331" s="15" t="n">
        <f aca="false">INDEX(Clientes!$E$4:$E$15,MATCH(B331,Clientes!$A$4:$A$15,0))</f>
        <v>1</v>
      </c>
      <c r="I331" s="16" t="n">
        <f aca="false">ROUND(F331*G331*H331,0)</f>
        <v>14341</v>
      </c>
    </row>
    <row r="332" customFormat="false" ht="15" hidden="false" customHeight="false" outlineLevel="0" collapsed="false">
      <c r="A332" s="14" t="n">
        <v>45689</v>
      </c>
      <c r="B332" s="6" t="s">
        <v>31</v>
      </c>
      <c r="C332" s="6" t="s">
        <v>68</v>
      </c>
      <c r="D332" s="0" t="str">
        <f aca="false">INDEX(Clientes!$B$4:$B$15,MATCH(B332,Clientes!$A$4:$A$15,0))</f>
        <v>Clínica Dental Sonrisa</v>
      </c>
      <c r="E332" s="0" t="str">
        <f aca="false">INDEX(Catalogo_Servicios!$C$4:$C$24,MATCH(C332,Catalogo_Servicios!$A$4:$A$24,0))</f>
        <v>Asesoría contable, financiera y tributaria</v>
      </c>
      <c r="F332" s="15" t="n">
        <v>1.5</v>
      </c>
      <c r="G332" s="16" t="n">
        <f aca="false">Parametros!$B$4</f>
        <v>28681</v>
      </c>
      <c r="H332" s="15" t="n">
        <f aca="false">INDEX(Clientes!$E$4:$E$15,MATCH(B332,Clientes!$A$4:$A$15,0))</f>
        <v>1.1</v>
      </c>
      <c r="I332" s="16" t="n">
        <f aca="false">ROUND(F332*G332*H332,0)</f>
        <v>47324</v>
      </c>
    </row>
    <row r="333" customFormat="false" ht="15" hidden="false" customHeight="false" outlineLevel="0" collapsed="false">
      <c r="A333" s="14" t="n">
        <v>45689</v>
      </c>
      <c r="B333" s="6" t="s">
        <v>31</v>
      </c>
      <c r="C333" s="6" t="s">
        <v>65</v>
      </c>
      <c r="D333" s="0" t="str">
        <f aca="false">INDEX(Clientes!$B$4:$B$15,MATCH(B333,Clientes!$A$4:$A$15,0))</f>
        <v>Clínica Dental Sonrisa</v>
      </c>
      <c r="E333" s="0" t="str">
        <f aca="false">INDEX(Catalogo_Servicios!$C$4:$C$24,MATCH(C333,Catalogo_Servicios!$A$4:$A$24,0))</f>
        <v>Declaración mensual de IVA (D-104)</v>
      </c>
      <c r="F333" s="15" t="n">
        <v>0.75</v>
      </c>
      <c r="G333" s="16" t="n">
        <f aca="false">Parametros!$B$4</f>
        <v>28681</v>
      </c>
      <c r="H333" s="15" t="n">
        <f aca="false">INDEX(Clientes!$E$4:$E$15,MATCH(B333,Clientes!$A$4:$A$15,0))</f>
        <v>1.1</v>
      </c>
      <c r="I333" s="16" t="n">
        <f aca="false">ROUND(F333*G333*H333,0)</f>
        <v>23662</v>
      </c>
    </row>
    <row r="334" customFormat="false" ht="15" hidden="false" customHeight="false" outlineLevel="0" collapsed="false">
      <c r="A334" s="14" t="n">
        <v>45689</v>
      </c>
      <c r="B334" s="6" t="s">
        <v>31</v>
      </c>
      <c r="C334" s="6" t="s">
        <v>72</v>
      </c>
      <c r="D334" s="0" t="str">
        <f aca="false">INDEX(Clientes!$B$4:$B$15,MATCH(B334,Clientes!$A$4:$A$15,0))</f>
        <v>Clínica Dental Sonrisa</v>
      </c>
      <c r="E334" s="0" t="str">
        <f aca="false">INDEX(Catalogo_Servicios!$C$4:$C$24,MATCH(C334,Catalogo_Servicios!$A$4:$A$24,0))</f>
        <v>Declaración informativa anual (D-151)</v>
      </c>
      <c r="F334" s="15" t="n">
        <v>0.5</v>
      </c>
      <c r="G334" s="16" t="n">
        <f aca="false">Parametros!$B$4</f>
        <v>28681</v>
      </c>
      <c r="H334" s="15" t="n">
        <f aca="false">INDEX(Clientes!$E$4:$E$15,MATCH(B334,Clientes!$A$4:$A$15,0))</f>
        <v>1.1</v>
      </c>
      <c r="I334" s="16" t="n">
        <f aca="false">ROUND(F334*G334*H334,0)</f>
        <v>15775</v>
      </c>
    </row>
    <row r="335" customFormat="false" ht="15" hidden="false" customHeight="false" outlineLevel="0" collapsed="false">
      <c r="A335" s="14" t="n">
        <v>45689</v>
      </c>
      <c r="B335" s="6" t="s">
        <v>32</v>
      </c>
      <c r="C335" s="6" t="s">
        <v>65</v>
      </c>
      <c r="D335" s="0" t="str">
        <f aca="false">INDEX(Clientes!$B$4:$B$15,MATCH(B335,Clientes!$A$4:$A$15,0))</f>
        <v>Soda y Restaurante Doña Lela</v>
      </c>
      <c r="E335" s="0" t="str">
        <f aca="false">INDEX(Catalogo_Servicios!$C$4:$C$24,MATCH(C335,Catalogo_Servicios!$A$4:$A$24,0))</f>
        <v>Declaración mensual de IVA (D-104)</v>
      </c>
      <c r="F335" s="15" t="n">
        <v>0.75</v>
      </c>
      <c r="G335" s="16" t="n">
        <f aca="false">Parametros!$B$4</f>
        <v>28681</v>
      </c>
      <c r="H335" s="15" t="n">
        <f aca="false">INDEX(Clientes!$E$4:$E$15,MATCH(B335,Clientes!$A$4:$A$15,0))</f>
        <v>1</v>
      </c>
      <c r="I335" s="16" t="n">
        <f aca="false">ROUND(F335*G335*H335,0)</f>
        <v>21511</v>
      </c>
    </row>
    <row r="336" customFormat="false" ht="15" hidden="false" customHeight="false" outlineLevel="0" collapsed="false">
      <c r="A336" s="14" t="n">
        <v>45689</v>
      </c>
      <c r="B336" s="6" t="s">
        <v>32</v>
      </c>
      <c r="C336" s="6" t="s">
        <v>72</v>
      </c>
      <c r="D336" s="0" t="str">
        <f aca="false">INDEX(Clientes!$B$4:$B$15,MATCH(B336,Clientes!$A$4:$A$15,0))</f>
        <v>Soda y Restaurante Doña Lela</v>
      </c>
      <c r="E336" s="0" t="str">
        <f aca="false">INDEX(Catalogo_Servicios!$C$4:$C$24,MATCH(C336,Catalogo_Servicios!$A$4:$A$24,0))</f>
        <v>Declaración informativa anual (D-151)</v>
      </c>
      <c r="F336" s="15" t="n">
        <v>0.5</v>
      </c>
      <c r="G336" s="16" t="n">
        <f aca="false">Parametros!$B$4</f>
        <v>28681</v>
      </c>
      <c r="H336" s="15" t="n">
        <f aca="false">INDEX(Clientes!$E$4:$E$15,MATCH(B336,Clientes!$A$4:$A$15,0))</f>
        <v>1</v>
      </c>
      <c r="I336" s="16" t="n">
        <f aca="false">ROUND(F336*G336*H336,0)</f>
        <v>14341</v>
      </c>
    </row>
    <row r="337" customFormat="false" ht="15" hidden="false" customHeight="false" outlineLevel="0" collapsed="false">
      <c r="A337" s="14" t="n">
        <v>45689</v>
      </c>
      <c r="B337" s="6" t="s">
        <v>33</v>
      </c>
      <c r="C337" s="6" t="s">
        <v>65</v>
      </c>
      <c r="D337" s="0" t="str">
        <f aca="false">INDEX(Clientes!$B$4:$B$15,MATCH(B337,Clientes!$A$4:$A$15,0))</f>
        <v>Transportes Rápidos del Valle</v>
      </c>
      <c r="E337" s="0" t="str">
        <f aca="false">INDEX(Catalogo_Servicios!$C$4:$C$24,MATCH(C337,Catalogo_Servicios!$A$4:$A$24,0))</f>
        <v>Declaración mensual de IVA (D-104)</v>
      </c>
      <c r="F337" s="15" t="n">
        <v>0.75</v>
      </c>
      <c r="G337" s="16" t="n">
        <f aca="false">Parametros!$B$4</f>
        <v>28681</v>
      </c>
      <c r="H337" s="15" t="n">
        <f aca="false">INDEX(Clientes!$E$4:$E$15,MATCH(B337,Clientes!$A$4:$A$15,0))</f>
        <v>1</v>
      </c>
      <c r="I337" s="16" t="n">
        <f aca="false">ROUND(F337*G337*H337,0)</f>
        <v>21511</v>
      </c>
    </row>
    <row r="338" customFormat="false" ht="15" hidden="false" customHeight="false" outlineLevel="0" collapsed="false">
      <c r="A338" s="14" t="n">
        <v>45689</v>
      </c>
      <c r="B338" s="6" t="s">
        <v>33</v>
      </c>
      <c r="C338" s="6" t="s">
        <v>66</v>
      </c>
      <c r="D338" s="0" t="str">
        <f aca="false">INDEX(Clientes!$B$4:$B$15,MATCH(B338,Clientes!$A$4:$A$15,0))</f>
        <v>Transportes Rápidos del Valle</v>
      </c>
      <c r="E338" s="0" t="str">
        <f aca="false">INDEX(Catalogo_Servicios!$C$4:$C$24,MATCH(C338,Catalogo_Servicios!$A$4:$A$24,0))</f>
        <v>Declaración mensual de retenciones (D-103)</v>
      </c>
      <c r="F338" s="15" t="n">
        <v>0.25</v>
      </c>
      <c r="G338" s="16" t="n">
        <f aca="false">Parametros!$B$4</f>
        <v>28681</v>
      </c>
      <c r="H338" s="15" t="n">
        <f aca="false">INDEX(Clientes!$E$4:$E$15,MATCH(B338,Clientes!$A$4:$A$15,0))</f>
        <v>1</v>
      </c>
      <c r="I338" s="16" t="n">
        <f aca="false">ROUND(F338*G338*H338,0)</f>
        <v>7170</v>
      </c>
    </row>
    <row r="339" customFormat="false" ht="15" hidden="false" customHeight="false" outlineLevel="0" collapsed="false">
      <c r="A339" s="14" t="n">
        <v>45689</v>
      </c>
      <c r="B339" s="6" t="s">
        <v>33</v>
      </c>
      <c r="C339" s="6" t="s">
        <v>67</v>
      </c>
      <c r="D339" s="0" t="str">
        <f aca="false">INDEX(Clientes!$B$4:$B$15,MATCH(B339,Clientes!$A$4:$A$15,0))</f>
        <v>Transportes Rápidos del Valle</v>
      </c>
      <c r="E339" s="0" t="str">
        <f aca="false">INDEX(Catalogo_Servicios!$C$4:$C$24,MATCH(C339,Catalogo_Servicios!$A$4:$A$24,0))</f>
        <v>Cálculo de planillas y cargas sociales (CCSS/INS)</v>
      </c>
      <c r="F339" s="15" t="n">
        <v>5.5</v>
      </c>
      <c r="G339" s="16" t="n">
        <f aca="false">Parametros!$B$4</f>
        <v>28681</v>
      </c>
      <c r="H339" s="15" t="n">
        <f aca="false">INDEX(Clientes!$E$4:$E$15,MATCH(B339,Clientes!$A$4:$A$15,0))</f>
        <v>1</v>
      </c>
      <c r="I339" s="16" t="n">
        <f aca="false">ROUND(F339*G339*H339,0)</f>
        <v>157746</v>
      </c>
    </row>
    <row r="340" customFormat="false" ht="15" hidden="false" customHeight="false" outlineLevel="0" collapsed="false">
      <c r="A340" s="14" t="n">
        <v>45689</v>
      </c>
      <c r="B340" s="6" t="s">
        <v>33</v>
      </c>
      <c r="C340" s="6" t="s">
        <v>72</v>
      </c>
      <c r="D340" s="0" t="str">
        <f aca="false">INDEX(Clientes!$B$4:$B$15,MATCH(B340,Clientes!$A$4:$A$15,0))</f>
        <v>Transportes Rápidos del Valle</v>
      </c>
      <c r="E340" s="0" t="str">
        <f aca="false">INDEX(Catalogo_Servicios!$C$4:$C$24,MATCH(C340,Catalogo_Servicios!$A$4:$A$24,0))</f>
        <v>Declaración informativa anual (D-151)</v>
      </c>
      <c r="F340" s="15" t="n">
        <v>0.5</v>
      </c>
      <c r="G340" s="16" t="n">
        <f aca="false">Parametros!$B$4</f>
        <v>28681</v>
      </c>
      <c r="H340" s="15" t="n">
        <f aca="false">INDEX(Clientes!$E$4:$E$15,MATCH(B340,Clientes!$A$4:$A$15,0))</f>
        <v>1</v>
      </c>
      <c r="I340" s="16" t="n">
        <f aca="false">ROUND(F340*G340*H340,0)</f>
        <v>14341</v>
      </c>
    </row>
    <row r="341" customFormat="false" ht="15" hidden="false" customHeight="false" outlineLevel="0" collapsed="false">
      <c r="A341" s="14" t="n">
        <v>45689</v>
      </c>
      <c r="B341" s="6" t="s">
        <v>35</v>
      </c>
      <c r="C341" s="6" t="s">
        <v>65</v>
      </c>
      <c r="D341" s="0" t="str">
        <f aca="false">INDEX(Clientes!$B$4:$B$15,MATCH(B341,Clientes!$A$4:$A$15,0))</f>
        <v>Taller Mecánico Hermanos Mora</v>
      </c>
      <c r="E341" s="0" t="str">
        <f aca="false">INDEX(Catalogo_Servicios!$C$4:$C$24,MATCH(C341,Catalogo_Servicios!$A$4:$A$24,0))</f>
        <v>Declaración mensual de IVA (D-104)</v>
      </c>
      <c r="F341" s="15" t="n">
        <v>0.75</v>
      </c>
      <c r="G341" s="16" t="n">
        <f aca="false">Parametros!$B$4</f>
        <v>28681</v>
      </c>
      <c r="H341" s="15" t="n">
        <f aca="false">INDEX(Clientes!$E$4:$E$15,MATCH(B341,Clientes!$A$4:$A$15,0))</f>
        <v>1</v>
      </c>
      <c r="I341" s="16" t="n">
        <f aca="false">ROUND(F341*G341*H341,0)</f>
        <v>21511</v>
      </c>
    </row>
    <row r="342" customFormat="false" ht="15" hidden="false" customHeight="false" outlineLevel="0" collapsed="false">
      <c r="A342" s="14" t="n">
        <v>45689</v>
      </c>
      <c r="B342" s="6" t="s">
        <v>35</v>
      </c>
      <c r="C342" s="6" t="s">
        <v>72</v>
      </c>
      <c r="D342" s="0" t="str">
        <f aca="false">INDEX(Clientes!$B$4:$B$15,MATCH(B342,Clientes!$A$4:$A$15,0))</f>
        <v>Taller Mecánico Hermanos Mora</v>
      </c>
      <c r="E342" s="0" t="str">
        <f aca="false">INDEX(Catalogo_Servicios!$C$4:$C$24,MATCH(C342,Catalogo_Servicios!$A$4:$A$24,0))</f>
        <v>Declaración informativa anual (D-151)</v>
      </c>
      <c r="F342" s="15" t="n">
        <v>0.5</v>
      </c>
      <c r="G342" s="16" t="n">
        <f aca="false">Parametros!$B$4</f>
        <v>28681</v>
      </c>
      <c r="H342" s="15" t="n">
        <f aca="false">INDEX(Clientes!$E$4:$E$15,MATCH(B342,Clientes!$A$4:$A$15,0))</f>
        <v>1</v>
      </c>
      <c r="I342" s="16" t="n">
        <f aca="false">ROUND(F342*G342*H342,0)</f>
        <v>14341</v>
      </c>
    </row>
    <row r="343" customFormat="false" ht="15" hidden="false" customHeight="false" outlineLevel="0" collapsed="false">
      <c r="A343" s="14" t="n">
        <v>45689</v>
      </c>
      <c r="B343" s="6" t="s">
        <v>36</v>
      </c>
      <c r="C343" s="6" t="s">
        <v>65</v>
      </c>
      <c r="D343" s="0" t="str">
        <f aca="false">INDEX(Clientes!$B$4:$B$15,MATCH(B343,Clientes!$A$4:$A$15,0))</f>
        <v>Agroservicios Cartago</v>
      </c>
      <c r="E343" s="0" t="str">
        <f aca="false">INDEX(Catalogo_Servicios!$C$4:$C$24,MATCH(C343,Catalogo_Servicios!$A$4:$A$24,0))</f>
        <v>Declaración mensual de IVA (D-104)</v>
      </c>
      <c r="F343" s="15" t="n">
        <v>0.75</v>
      </c>
      <c r="G343" s="16" t="n">
        <f aca="false">Parametros!$B$4</f>
        <v>28681</v>
      </c>
      <c r="H343" s="15" t="n">
        <f aca="false">INDEX(Clientes!$E$4:$E$15,MATCH(B343,Clientes!$A$4:$A$15,0))</f>
        <v>1</v>
      </c>
      <c r="I343" s="16" t="n">
        <f aca="false">ROUND(F343*G343*H343,0)</f>
        <v>21511</v>
      </c>
    </row>
    <row r="344" customFormat="false" ht="15" hidden="false" customHeight="false" outlineLevel="0" collapsed="false">
      <c r="A344" s="14" t="n">
        <v>45689</v>
      </c>
      <c r="B344" s="6" t="s">
        <v>36</v>
      </c>
      <c r="C344" s="6" t="s">
        <v>66</v>
      </c>
      <c r="D344" s="0" t="str">
        <f aca="false">INDEX(Clientes!$B$4:$B$15,MATCH(B344,Clientes!$A$4:$A$15,0))</f>
        <v>Agroservicios Cartago</v>
      </c>
      <c r="E344" s="0" t="str">
        <f aca="false">INDEX(Catalogo_Servicios!$C$4:$C$24,MATCH(C344,Catalogo_Servicios!$A$4:$A$24,0))</f>
        <v>Declaración mensual de retenciones (D-103)</v>
      </c>
      <c r="F344" s="15" t="n">
        <v>0.25</v>
      </c>
      <c r="G344" s="16" t="n">
        <f aca="false">Parametros!$B$4</f>
        <v>28681</v>
      </c>
      <c r="H344" s="15" t="n">
        <f aca="false">INDEX(Clientes!$E$4:$E$15,MATCH(B344,Clientes!$A$4:$A$15,0))</f>
        <v>1</v>
      </c>
      <c r="I344" s="16" t="n">
        <f aca="false">ROUND(F344*G344*H344,0)</f>
        <v>7170</v>
      </c>
    </row>
    <row r="345" customFormat="false" ht="15" hidden="false" customHeight="false" outlineLevel="0" collapsed="false">
      <c r="A345" s="14" t="n">
        <v>45689</v>
      </c>
      <c r="B345" s="6" t="s">
        <v>36</v>
      </c>
      <c r="C345" s="6" t="s">
        <v>72</v>
      </c>
      <c r="D345" s="0" t="str">
        <f aca="false">INDEX(Clientes!$B$4:$B$15,MATCH(B345,Clientes!$A$4:$A$15,0))</f>
        <v>Agroservicios Cartago</v>
      </c>
      <c r="E345" s="0" t="str">
        <f aca="false">INDEX(Catalogo_Servicios!$C$4:$C$24,MATCH(C345,Catalogo_Servicios!$A$4:$A$24,0))</f>
        <v>Declaración informativa anual (D-151)</v>
      </c>
      <c r="F345" s="15" t="n">
        <v>0.5</v>
      </c>
      <c r="G345" s="16" t="n">
        <f aca="false">Parametros!$B$4</f>
        <v>28681</v>
      </c>
      <c r="H345" s="15" t="n">
        <f aca="false">INDEX(Clientes!$E$4:$E$15,MATCH(B345,Clientes!$A$4:$A$15,0))</f>
        <v>1</v>
      </c>
      <c r="I345" s="16" t="n">
        <f aca="false">ROUND(F345*G345*H345,0)</f>
        <v>14341</v>
      </c>
    </row>
    <row r="346" customFormat="false" ht="15" hidden="false" customHeight="false" outlineLevel="0" collapsed="false">
      <c r="A346" s="14" t="n">
        <v>45689</v>
      </c>
      <c r="B346" s="6" t="s">
        <v>38</v>
      </c>
      <c r="C346" s="6" t="s">
        <v>65</v>
      </c>
      <c r="D346" s="0" t="str">
        <f aca="false">INDEX(Clientes!$B$4:$B$15,MATCH(B346,Clientes!$A$4:$A$15,0))</f>
        <v>Panadería La Espiga</v>
      </c>
      <c r="E346" s="0" t="str">
        <f aca="false">INDEX(Catalogo_Servicios!$C$4:$C$24,MATCH(C346,Catalogo_Servicios!$A$4:$A$24,0))</f>
        <v>Declaración mensual de IVA (D-104)</v>
      </c>
      <c r="F346" s="15" t="n">
        <v>0.75</v>
      </c>
      <c r="G346" s="16" t="n">
        <f aca="false">Parametros!$B$4</f>
        <v>28681</v>
      </c>
      <c r="H346" s="15" t="n">
        <f aca="false">INDEX(Clientes!$E$4:$E$15,MATCH(B346,Clientes!$A$4:$A$15,0))</f>
        <v>1</v>
      </c>
      <c r="I346" s="16" t="n">
        <f aca="false">ROUND(F346*G346*H346,0)</f>
        <v>21511</v>
      </c>
    </row>
    <row r="347" customFormat="false" ht="15" hidden="false" customHeight="false" outlineLevel="0" collapsed="false">
      <c r="A347" s="14" t="n">
        <v>45689</v>
      </c>
      <c r="B347" s="6" t="s">
        <v>38</v>
      </c>
      <c r="C347" s="6" t="s">
        <v>67</v>
      </c>
      <c r="D347" s="0" t="str">
        <f aca="false">INDEX(Clientes!$B$4:$B$15,MATCH(B347,Clientes!$A$4:$A$15,0))</f>
        <v>Panadería La Espiga</v>
      </c>
      <c r="E347" s="0" t="str">
        <f aca="false">INDEX(Catalogo_Servicios!$C$4:$C$24,MATCH(C347,Catalogo_Servicios!$A$4:$A$24,0))</f>
        <v>Cálculo de planillas y cargas sociales (CCSS/INS)</v>
      </c>
      <c r="F347" s="15" t="n">
        <v>6.5</v>
      </c>
      <c r="G347" s="16" t="n">
        <f aca="false">Parametros!$B$4</f>
        <v>28681</v>
      </c>
      <c r="H347" s="15" t="n">
        <f aca="false">INDEX(Clientes!$E$4:$E$15,MATCH(B347,Clientes!$A$4:$A$15,0))</f>
        <v>1</v>
      </c>
      <c r="I347" s="16" t="n">
        <f aca="false">ROUND(F347*G347*H347,0)</f>
        <v>186427</v>
      </c>
    </row>
    <row r="348" customFormat="false" ht="15" hidden="false" customHeight="false" outlineLevel="0" collapsed="false">
      <c r="A348" s="14" t="n">
        <v>45689</v>
      </c>
      <c r="B348" s="6" t="s">
        <v>38</v>
      </c>
      <c r="C348" s="6" t="s">
        <v>72</v>
      </c>
      <c r="D348" s="0" t="str">
        <f aca="false">INDEX(Clientes!$B$4:$B$15,MATCH(B348,Clientes!$A$4:$A$15,0))</f>
        <v>Panadería La Espiga</v>
      </c>
      <c r="E348" s="0" t="str">
        <f aca="false">INDEX(Catalogo_Servicios!$C$4:$C$24,MATCH(C348,Catalogo_Servicios!$A$4:$A$24,0))</f>
        <v>Declaración informativa anual (D-151)</v>
      </c>
      <c r="F348" s="15" t="n">
        <v>0.5</v>
      </c>
      <c r="G348" s="16" t="n">
        <f aca="false">Parametros!$B$4</f>
        <v>28681</v>
      </c>
      <c r="H348" s="15" t="n">
        <f aca="false">INDEX(Clientes!$E$4:$E$15,MATCH(B348,Clientes!$A$4:$A$15,0))</f>
        <v>1</v>
      </c>
      <c r="I348" s="16" t="n">
        <f aca="false">ROUND(F348*G348*H348,0)</f>
        <v>14341</v>
      </c>
    </row>
    <row r="349" customFormat="false" ht="15" hidden="false" customHeight="false" outlineLevel="0" collapsed="false">
      <c r="A349" s="14" t="n">
        <v>45689</v>
      </c>
      <c r="B349" s="6" t="s">
        <v>40</v>
      </c>
      <c r="C349" s="6" t="s">
        <v>75</v>
      </c>
      <c r="D349" s="0" t="str">
        <f aca="false">INDEX(Clientes!$B$4:$B$15,MATCH(B349,Clientes!$A$4:$A$15,0))</f>
        <v>Veterinaria Mascotas Felices</v>
      </c>
      <c r="E349" s="0" t="str">
        <f aca="false">INDEX(Catalogo_Servicios!$C$4:$C$24,MATCH(C349,Catalogo_Servicios!$A$4:$A$24,0))</f>
        <v>Certificación para PYME / Régimen simplificado (MEIC)</v>
      </c>
      <c r="F349" s="15" t="n">
        <v>3</v>
      </c>
      <c r="G349" s="16" t="n">
        <f aca="false">Parametros!$B$4</f>
        <v>28681</v>
      </c>
      <c r="H349" s="15" t="n">
        <f aca="false">INDEX(Clientes!$E$4:$E$15,MATCH(B349,Clientes!$A$4:$A$15,0))</f>
        <v>1.05</v>
      </c>
      <c r="I349" s="16" t="n">
        <f aca="false">ROUND(F349*G349*H349,0)</f>
        <v>90345</v>
      </c>
    </row>
    <row r="350" customFormat="false" ht="15" hidden="false" customHeight="false" outlineLevel="0" collapsed="false">
      <c r="A350" s="14" t="n">
        <v>45717</v>
      </c>
      <c r="B350" s="6" t="s">
        <v>29</v>
      </c>
      <c r="C350" s="6" t="s">
        <v>64</v>
      </c>
      <c r="D350" s="0" t="str">
        <f aca="false">INDEX(Clientes!$B$4:$B$15,MATCH(B350,Clientes!$A$4:$A$15,0))</f>
        <v>Distribuidora Los Andes S.A.</v>
      </c>
      <c r="E350" s="0" t="str">
        <f aca="false">INDEX(Catalogo_Servicios!$C$4:$C$24,MATCH(C350,Catalogo_Servicios!$A$4:$A$24,0))</f>
        <v>Estados financieros mensuales</v>
      </c>
      <c r="F350" s="15" t="n">
        <v>3</v>
      </c>
      <c r="G350" s="16" t="n">
        <f aca="false">Parametros!$B$4</f>
        <v>28681</v>
      </c>
      <c r="H350" s="15" t="n">
        <f aca="false">INDEX(Clientes!$E$4:$E$15,MATCH(B350,Clientes!$A$4:$A$15,0))</f>
        <v>1</v>
      </c>
      <c r="I350" s="16" t="n">
        <f aca="false">ROUND(F350*G350*H350,0)</f>
        <v>86043</v>
      </c>
    </row>
    <row r="351" customFormat="false" ht="15" hidden="false" customHeight="false" outlineLevel="0" collapsed="false">
      <c r="A351" s="14" t="n">
        <v>45717</v>
      </c>
      <c r="B351" s="6" t="s">
        <v>29</v>
      </c>
      <c r="C351" s="6" t="s">
        <v>65</v>
      </c>
      <c r="D351" s="0" t="str">
        <f aca="false">INDEX(Clientes!$B$4:$B$15,MATCH(B351,Clientes!$A$4:$A$15,0))</f>
        <v>Distribuidora Los Andes S.A.</v>
      </c>
      <c r="E351" s="0" t="str">
        <f aca="false">INDEX(Catalogo_Servicios!$C$4:$C$24,MATCH(C351,Catalogo_Servicios!$A$4:$A$24,0))</f>
        <v>Declaración mensual de IVA (D-104)</v>
      </c>
      <c r="F351" s="15" t="n">
        <v>0.75</v>
      </c>
      <c r="G351" s="16" t="n">
        <f aca="false">Parametros!$B$4</f>
        <v>28681</v>
      </c>
      <c r="H351" s="15" t="n">
        <f aca="false">INDEX(Clientes!$E$4:$E$15,MATCH(B351,Clientes!$A$4:$A$15,0))</f>
        <v>1</v>
      </c>
      <c r="I351" s="16" t="n">
        <f aca="false">ROUND(F351*G351*H351,0)</f>
        <v>21511</v>
      </c>
    </row>
    <row r="352" customFormat="false" ht="15" hidden="false" customHeight="false" outlineLevel="0" collapsed="false">
      <c r="A352" s="14" t="n">
        <v>45717</v>
      </c>
      <c r="B352" s="6" t="s">
        <v>29</v>
      </c>
      <c r="C352" s="6" t="s">
        <v>66</v>
      </c>
      <c r="D352" s="0" t="str">
        <f aca="false">INDEX(Clientes!$B$4:$B$15,MATCH(B352,Clientes!$A$4:$A$15,0))</f>
        <v>Distribuidora Los Andes S.A.</v>
      </c>
      <c r="E352" s="0" t="str">
        <f aca="false">INDEX(Catalogo_Servicios!$C$4:$C$24,MATCH(C352,Catalogo_Servicios!$A$4:$A$24,0))</f>
        <v>Declaración mensual de retenciones (D-103)</v>
      </c>
      <c r="F352" s="15" t="n">
        <v>0.25</v>
      </c>
      <c r="G352" s="16" t="n">
        <f aca="false">Parametros!$B$4</f>
        <v>28681</v>
      </c>
      <c r="H352" s="15" t="n">
        <f aca="false">INDEX(Clientes!$E$4:$E$15,MATCH(B352,Clientes!$A$4:$A$15,0))</f>
        <v>1</v>
      </c>
      <c r="I352" s="16" t="n">
        <f aca="false">ROUND(F352*G352*H352,0)</f>
        <v>7170</v>
      </c>
    </row>
    <row r="353" customFormat="false" ht="15" hidden="false" customHeight="false" outlineLevel="0" collapsed="false">
      <c r="A353" s="14" t="n">
        <v>45717</v>
      </c>
      <c r="B353" s="6" t="s">
        <v>29</v>
      </c>
      <c r="C353" s="6" t="s">
        <v>67</v>
      </c>
      <c r="D353" s="0" t="str">
        <f aca="false">INDEX(Clientes!$B$4:$B$15,MATCH(B353,Clientes!$A$4:$A$15,0))</f>
        <v>Distribuidora Los Andes S.A.</v>
      </c>
      <c r="E353" s="0" t="str">
        <f aca="false">INDEX(Catalogo_Servicios!$C$4:$C$24,MATCH(C353,Catalogo_Servicios!$A$4:$A$24,0))</f>
        <v>Cálculo de planillas y cargas sociales (CCSS/INS)</v>
      </c>
      <c r="F353" s="15" t="n">
        <v>21</v>
      </c>
      <c r="G353" s="16" t="n">
        <f aca="false">Parametros!$B$4</f>
        <v>28681</v>
      </c>
      <c r="H353" s="15" t="n">
        <f aca="false">INDEX(Clientes!$E$4:$E$15,MATCH(B353,Clientes!$A$4:$A$15,0))</f>
        <v>1</v>
      </c>
      <c r="I353" s="16" t="n">
        <f aca="false">ROUND(F353*G353*H353,0)</f>
        <v>602301</v>
      </c>
    </row>
    <row r="354" customFormat="false" ht="15" hidden="false" customHeight="false" outlineLevel="0" collapsed="false">
      <c r="A354" s="14" t="n">
        <v>45717</v>
      </c>
      <c r="B354" s="6" t="s">
        <v>30</v>
      </c>
      <c r="C354" s="6" t="s">
        <v>68</v>
      </c>
      <c r="D354" s="0" t="str">
        <f aca="false">INDEX(Clientes!$B$4:$B$15,MATCH(B354,Clientes!$A$4:$A$15,0))</f>
        <v>Ferretería El Tornillo</v>
      </c>
      <c r="E354" s="0" t="str">
        <f aca="false">INDEX(Catalogo_Servicios!$C$4:$C$24,MATCH(C354,Catalogo_Servicios!$A$4:$A$24,0))</f>
        <v>Asesoría contable, financiera y tributaria</v>
      </c>
      <c r="F354" s="15" t="n">
        <v>2</v>
      </c>
      <c r="G354" s="16" t="n">
        <f aca="false">Parametros!$B$4</f>
        <v>28681</v>
      </c>
      <c r="H354" s="15" t="n">
        <f aca="false">INDEX(Clientes!$E$4:$E$15,MATCH(B354,Clientes!$A$4:$A$15,0))</f>
        <v>1</v>
      </c>
      <c r="I354" s="16" t="n">
        <f aca="false">ROUND(F354*G354*H354,0)</f>
        <v>57362</v>
      </c>
    </row>
    <row r="355" customFormat="false" ht="15" hidden="false" customHeight="false" outlineLevel="0" collapsed="false">
      <c r="A355" s="14" t="n">
        <v>45717</v>
      </c>
      <c r="B355" s="6" t="s">
        <v>30</v>
      </c>
      <c r="C355" s="6" t="s">
        <v>64</v>
      </c>
      <c r="D355" s="0" t="str">
        <f aca="false">INDEX(Clientes!$B$4:$B$15,MATCH(B355,Clientes!$A$4:$A$15,0))</f>
        <v>Ferretería El Tornillo</v>
      </c>
      <c r="E355" s="0" t="str">
        <f aca="false">INDEX(Catalogo_Servicios!$C$4:$C$24,MATCH(C355,Catalogo_Servicios!$A$4:$A$24,0))</f>
        <v>Estados financieros mensuales</v>
      </c>
      <c r="F355" s="15" t="n">
        <v>3</v>
      </c>
      <c r="G355" s="16" t="n">
        <f aca="false">Parametros!$B$4</f>
        <v>28681</v>
      </c>
      <c r="H355" s="15" t="n">
        <f aca="false">INDEX(Clientes!$E$4:$E$15,MATCH(B355,Clientes!$A$4:$A$15,0))</f>
        <v>1</v>
      </c>
      <c r="I355" s="16" t="n">
        <f aca="false">ROUND(F355*G355*H355,0)</f>
        <v>86043</v>
      </c>
    </row>
    <row r="356" customFormat="false" ht="15" hidden="false" customHeight="false" outlineLevel="0" collapsed="false">
      <c r="A356" s="14" t="n">
        <v>45717</v>
      </c>
      <c r="B356" s="6" t="s">
        <v>30</v>
      </c>
      <c r="C356" s="6" t="s">
        <v>65</v>
      </c>
      <c r="D356" s="0" t="str">
        <f aca="false">INDEX(Clientes!$B$4:$B$15,MATCH(B356,Clientes!$A$4:$A$15,0))</f>
        <v>Ferretería El Tornillo</v>
      </c>
      <c r="E356" s="0" t="str">
        <f aca="false">INDEX(Catalogo_Servicios!$C$4:$C$24,MATCH(C356,Catalogo_Servicios!$A$4:$A$24,0))</f>
        <v>Declaración mensual de IVA (D-104)</v>
      </c>
      <c r="F356" s="15" t="n">
        <v>0.75</v>
      </c>
      <c r="G356" s="16" t="n">
        <f aca="false">Parametros!$B$4</f>
        <v>28681</v>
      </c>
      <c r="H356" s="15" t="n">
        <f aca="false">INDEX(Clientes!$E$4:$E$15,MATCH(B356,Clientes!$A$4:$A$15,0))</f>
        <v>1</v>
      </c>
      <c r="I356" s="16" t="n">
        <f aca="false">ROUND(F356*G356*H356,0)</f>
        <v>21511</v>
      </c>
    </row>
    <row r="357" customFormat="false" ht="15" hidden="false" customHeight="false" outlineLevel="0" collapsed="false">
      <c r="A357" s="14" t="n">
        <v>45717</v>
      </c>
      <c r="B357" s="6" t="s">
        <v>30</v>
      </c>
      <c r="C357" s="6" t="s">
        <v>66</v>
      </c>
      <c r="D357" s="0" t="str">
        <f aca="false">INDEX(Clientes!$B$4:$B$15,MATCH(B357,Clientes!$A$4:$A$15,0))</f>
        <v>Ferretería El Tornillo</v>
      </c>
      <c r="E357" s="0" t="str">
        <f aca="false">INDEX(Catalogo_Servicios!$C$4:$C$24,MATCH(C357,Catalogo_Servicios!$A$4:$A$24,0))</f>
        <v>Declaración mensual de retenciones (D-103)</v>
      </c>
      <c r="F357" s="15" t="n">
        <v>0.25</v>
      </c>
      <c r="G357" s="16" t="n">
        <f aca="false">Parametros!$B$4</f>
        <v>28681</v>
      </c>
      <c r="H357" s="15" t="n">
        <f aca="false">INDEX(Clientes!$E$4:$E$15,MATCH(B357,Clientes!$A$4:$A$15,0))</f>
        <v>1</v>
      </c>
      <c r="I357" s="16" t="n">
        <f aca="false">ROUND(F357*G357*H357,0)</f>
        <v>7170</v>
      </c>
    </row>
    <row r="358" customFormat="false" ht="15" hidden="false" customHeight="false" outlineLevel="0" collapsed="false">
      <c r="A358" s="14" t="n">
        <v>45717</v>
      </c>
      <c r="B358" s="6" t="s">
        <v>30</v>
      </c>
      <c r="C358" s="6" t="s">
        <v>69</v>
      </c>
      <c r="D358" s="0" t="str">
        <f aca="false">INDEX(Clientes!$B$4:$B$15,MATCH(B358,Clientes!$A$4:$A$15,0))</f>
        <v>Ferretería El Tornillo</v>
      </c>
      <c r="E358" s="0" t="str">
        <f aca="false">INDEX(Catalogo_Servicios!$C$4:$C$24,MATCH(C358,Catalogo_Servicios!$A$4:$A$24,0))</f>
        <v>Declaración anual de renta (D-101 / D-105)</v>
      </c>
      <c r="F358" s="15" t="n">
        <v>1.5</v>
      </c>
      <c r="G358" s="16" t="n">
        <f aca="false">Parametros!$B$4</f>
        <v>28681</v>
      </c>
      <c r="H358" s="15" t="n">
        <f aca="false">INDEX(Clientes!$E$4:$E$15,MATCH(B358,Clientes!$A$4:$A$15,0))</f>
        <v>1</v>
      </c>
      <c r="I358" s="16" t="n">
        <f aca="false">ROUND(F358*G358*H358,0)</f>
        <v>43022</v>
      </c>
    </row>
    <row r="359" customFormat="false" ht="15" hidden="false" customHeight="false" outlineLevel="0" collapsed="false">
      <c r="A359" s="14" t="n">
        <v>45717</v>
      </c>
      <c r="B359" s="6" t="s">
        <v>30</v>
      </c>
      <c r="C359" s="6" t="s">
        <v>70</v>
      </c>
      <c r="D359" s="0" t="str">
        <f aca="false">INDEX(Clientes!$B$4:$B$15,MATCH(B359,Clientes!$A$4:$A$15,0))</f>
        <v>Ferretería El Tornillo</v>
      </c>
      <c r="E359" s="0" t="str">
        <f aca="false">INDEX(Catalogo_Servicios!$C$4:$C$24,MATCH(C359,Catalogo_Servicios!$A$4:$A$24,0))</f>
        <v>Estados financieros anuales / cierre fiscal</v>
      </c>
      <c r="F359" s="15" t="n">
        <v>6</v>
      </c>
      <c r="G359" s="16" t="n">
        <f aca="false">Parametros!$B$4</f>
        <v>28681</v>
      </c>
      <c r="H359" s="15" t="n">
        <f aca="false">INDEX(Clientes!$E$4:$E$15,MATCH(B359,Clientes!$A$4:$A$15,0))</f>
        <v>1</v>
      </c>
      <c r="I359" s="16" t="n">
        <f aca="false">ROUND(F359*G359*H359,0)</f>
        <v>172086</v>
      </c>
    </row>
    <row r="360" customFormat="false" ht="15" hidden="false" customHeight="false" outlineLevel="0" collapsed="false">
      <c r="A360" s="14" t="n">
        <v>45717</v>
      </c>
      <c r="B360" s="6" t="s">
        <v>31</v>
      </c>
      <c r="C360" s="6" t="s">
        <v>65</v>
      </c>
      <c r="D360" s="0" t="str">
        <f aca="false">INDEX(Clientes!$B$4:$B$15,MATCH(B360,Clientes!$A$4:$A$15,0))</f>
        <v>Clínica Dental Sonrisa</v>
      </c>
      <c r="E360" s="0" t="str">
        <f aca="false">INDEX(Catalogo_Servicios!$C$4:$C$24,MATCH(C360,Catalogo_Servicios!$A$4:$A$24,0))</f>
        <v>Declaración mensual de IVA (D-104)</v>
      </c>
      <c r="F360" s="15" t="n">
        <v>0.75</v>
      </c>
      <c r="G360" s="16" t="n">
        <f aca="false">Parametros!$B$4</f>
        <v>28681</v>
      </c>
      <c r="H360" s="15" t="n">
        <f aca="false">INDEX(Clientes!$E$4:$E$15,MATCH(B360,Clientes!$A$4:$A$15,0))</f>
        <v>1.1</v>
      </c>
      <c r="I360" s="16" t="n">
        <f aca="false">ROUND(F360*G360*H360,0)</f>
        <v>23662</v>
      </c>
    </row>
    <row r="361" customFormat="false" ht="15" hidden="false" customHeight="false" outlineLevel="0" collapsed="false">
      <c r="A361" s="14" t="n">
        <v>45717</v>
      </c>
      <c r="B361" s="6" t="s">
        <v>32</v>
      </c>
      <c r="C361" s="6" t="s">
        <v>65</v>
      </c>
      <c r="D361" s="0" t="str">
        <f aca="false">INDEX(Clientes!$B$4:$B$15,MATCH(B361,Clientes!$A$4:$A$15,0))</f>
        <v>Soda y Restaurante Doña Lela</v>
      </c>
      <c r="E361" s="0" t="str">
        <f aca="false">INDEX(Catalogo_Servicios!$C$4:$C$24,MATCH(C361,Catalogo_Servicios!$A$4:$A$24,0))</f>
        <v>Declaración mensual de IVA (D-104)</v>
      </c>
      <c r="F361" s="15" t="n">
        <v>0.75</v>
      </c>
      <c r="G361" s="16" t="n">
        <f aca="false">Parametros!$B$4</f>
        <v>28681</v>
      </c>
      <c r="H361" s="15" t="n">
        <f aca="false">INDEX(Clientes!$E$4:$E$15,MATCH(B361,Clientes!$A$4:$A$15,0))</f>
        <v>1</v>
      </c>
      <c r="I361" s="16" t="n">
        <f aca="false">ROUND(F361*G361*H361,0)</f>
        <v>21511</v>
      </c>
    </row>
    <row r="362" customFormat="false" ht="15" hidden="false" customHeight="false" outlineLevel="0" collapsed="false">
      <c r="A362" s="14" t="n">
        <v>45717</v>
      </c>
      <c r="B362" s="6" t="s">
        <v>33</v>
      </c>
      <c r="C362" s="6" t="s">
        <v>65</v>
      </c>
      <c r="D362" s="0" t="str">
        <f aca="false">INDEX(Clientes!$B$4:$B$15,MATCH(B362,Clientes!$A$4:$A$15,0))</f>
        <v>Transportes Rápidos del Valle</v>
      </c>
      <c r="E362" s="0" t="str">
        <f aca="false">INDEX(Catalogo_Servicios!$C$4:$C$24,MATCH(C362,Catalogo_Servicios!$A$4:$A$24,0))</f>
        <v>Declaración mensual de IVA (D-104)</v>
      </c>
      <c r="F362" s="15" t="n">
        <v>0.75</v>
      </c>
      <c r="G362" s="16" t="n">
        <f aca="false">Parametros!$B$4</f>
        <v>28681</v>
      </c>
      <c r="H362" s="15" t="n">
        <f aca="false">INDEX(Clientes!$E$4:$E$15,MATCH(B362,Clientes!$A$4:$A$15,0))</f>
        <v>1</v>
      </c>
      <c r="I362" s="16" t="n">
        <f aca="false">ROUND(F362*G362*H362,0)</f>
        <v>21511</v>
      </c>
    </row>
    <row r="363" customFormat="false" ht="15" hidden="false" customHeight="false" outlineLevel="0" collapsed="false">
      <c r="A363" s="14" t="n">
        <v>45717</v>
      </c>
      <c r="B363" s="6" t="s">
        <v>33</v>
      </c>
      <c r="C363" s="6" t="s">
        <v>66</v>
      </c>
      <c r="D363" s="0" t="str">
        <f aca="false">INDEX(Clientes!$B$4:$B$15,MATCH(B363,Clientes!$A$4:$A$15,0))</f>
        <v>Transportes Rápidos del Valle</v>
      </c>
      <c r="E363" s="0" t="str">
        <f aca="false">INDEX(Catalogo_Servicios!$C$4:$C$24,MATCH(C363,Catalogo_Servicios!$A$4:$A$24,0))</f>
        <v>Declaración mensual de retenciones (D-103)</v>
      </c>
      <c r="F363" s="15" t="n">
        <v>0.25</v>
      </c>
      <c r="G363" s="16" t="n">
        <f aca="false">Parametros!$B$4</f>
        <v>28681</v>
      </c>
      <c r="H363" s="15" t="n">
        <f aca="false">INDEX(Clientes!$E$4:$E$15,MATCH(B363,Clientes!$A$4:$A$15,0))</f>
        <v>1</v>
      </c>
      <c r="I363" s="16" t="n">
        <f aca="false">ROUND(F363*G363*H363,0)</f>
        <v>7170</v>
      </c>
    </row>
    <row r="364" customFormat="false" ht="15" hidden="false" customHeight="false" outlineLevel="0" collapsed="false">
      <c r="A364" s="14" t="n">
        <v>45717</v>
      </c>
      <c r="B364" s="6" t="s">
        <v>33</v>
      </c>
      <c r="C364" s="6" t="s">
        <v>67</v>
      </c>
      <c r="D364" s="0" t="str">
        <f aca="false">INDEX(Clientes!$B$4:$B$15,MATCH(B364,Clientes!$A$4:$A$15,0))</f>
        <v>Transportes Rápidos del Valle</v>
      </c>
      <c r="E364" s="0" t="str">
        <f aca="false">INDEX(Catalogo_Servicios!$C$4:$C$24,MATCH(C364,Catalogo_Servicios!$A$4:$A$24,0))</f>
        <v>Cálculo de planillas y cargas sociales (CCSS/INS)</v>
      </c>
      <c r="F364" s="15" t="n">
        <v>5.5</v>
      </c>
      <c r="G364" s="16" t="n">
        <f aca="false">Parametros!$B$4</f>
        <v>28681</v>
      </c>
      <c r="H364" s="15" t="n">
        <f aca="false">INDEX(Clientes!$E$4:$E$15,MATCH(B364,Clientes!$A$4:$A$15,0))</f>
        <v>1</v>
      </c>
      <c r="I364" s="16" t="n">
        <f aca="false">ROUND(F364*G364*H364,0)</f>
        <v>157746</v>
      </c>
    </row>
    <row r="365" customFormat="false" ht="15" hidden="false" customHeight="false" outlineLevel="0" collapsed="false">
      <c r="A365" s="14" t="n">
        <v>45717</v>
      </c>
      <c r="B365" s="6" t="s">
        <v>34</v>
      </c>
      <c r="C365" s="6" t="s">
        <v>69</v>
      </c>
      <c r="D365" s="0" t="str">
        <f aca="false">INDEX(Clientes!$B$4:$B$15,MATCH(B365,Clientes!$A$4:$A$15,0))</f>
        <v>Boutique Luna Nueva</v>
      </c>
      <c r="E365" s="0" t="str">
        <f aca="false">INDEX(Catalogo_Servicios!$C$4:$C$24,MATCH(C365,Catalogo_Servicios!$A$4:$A$24,0))</f>
        <v>Declaración anual de renta (D-101 / D-105)</v>
      </c>
      <c r="F365" s="15" t="n">
        <v>1.5</v>
      </c>
      <c r="G365" s="16" t="n">
        <f aca="false">Parametros!$B$4</f>
        <v>28681</v>
      </c>
      <c r="H365" s="15" t="n">
        <f aca="false">INDEX(Clientes!$E$4:$E$15,MATCH(B365,Clientes!$A$4:$A$15,0))</f>
        <v>1.15</v>
      </c>
      <c r="I365" s="16" t="n">
        <f aca="false">ROUND(F365*G365*H365,0)</f>
        <v>49475</v>
      </c>
    </row>
    <row r="366" customFormat="false" ht="15" hidden="false" customHeight="false" outlineLevel="0" collapsed="false">
      <c r="A366" s="14" t="n">
        <v>45717</v>
      </c>
      <c r="B366" s="6" t="s">
        <v>34</v>
      </c>
      <c r="C366" s="6" t="s">
        <v>74</v>
      </c>
      <c r="D366" s="0" t="str">
        <f aca="false">INDEX(Clientes!$B$4:$B$15,MATCH(B366,Clientes!$A$4:$A$15,0))</f>
        <v>Boutique Luna Nueva</v>
      </c>
      <c r="E366" s="0" t="str">
        <f aca="false">INDEX(Catalogo_Servicios!$C$4:$C$24,MATCH(C366,Catalogo_Servicios!$A$4:$A$24,0))</f>
        <v>Certificación de ingresos y estudios generales</v>
      </c>
      <c r="F366" s="15" t="n">
        <v>3</v>
      </c>
      <c r="G366" s="16" t="n">
        <f aca="false">Parametros!$B$4</f>
        <v>28681</v>
      </c>
      <c r="H366" s="15" t="n">
        <f aca="false">INDEX(Clientes!$E$4:$E$15,MATCH(B366,Clientes!$A$4:$A$15,0))</f>
        <v>1.15</v>
      </c>
      <c r="I366" s="16" t="n">
        <f aca="false">ROUND(F366*G366*H366,0)</f>
        <v>98949</v>
      </c>
    </row>
    <row r="367" customFormat="false" ht="15" hidden="false" customHeight="false" outlineLevel="0" collapsed="false">
      <c r="A367" s="14" t="n">
        <v>45717</v>
      </c>
      <c r="B367" s="6" t="s">
        <v>35</v>
      </c>
      <c r="C367" s="6" t="s">
        <v>65</v>
      </c>
      <c r="D367" s="0" t="str">
        <f aca="false">INDEX(Clientes!$B$4:$B$15,MATCH(B367,Clientes!$A$4:$A$15,0))</f>
        <v>Taller Mecánico Hermanos Mora</v>
      </c>
      <c r="E367" s="0" t="str">
        <f aca="false">INDEX(Catalogo_Servicios!$C$4:$C$24,MATCH(C367,Catalogo_Servicios!$A$4:$A$24,0))</f>
        <v>Declaración mensual de IVA (D-104)</v>
      </c>
      <c r="F367" s="15" t="n">
        <v>0.75</v>
      </c>
      <c r="G367" s="16" t="n">
        <f aca="false">Parametros!$B$4</f>
        <v>28681</v>
      </c>
      <c r="H367" s="15" t="n">
        <f aca="false">INDEX(Clientes!$E$4:$E$15,MATCH(B367,Clientes!$A$4:$A$15,0))</f>
        <v>1</v>
      </c>
      <c r="I367" s="16" t="n">
        <f aca="false">ROUND(F367*G367*H367,0)</f>
        <v>21511</v>
      </c>
    </row>
    <row r="368" customFormat="false" ht="15" hidden="false" customHeight="false" outlineLevel="0" collapsed="false">
      <c r="A368" s="14" t="n">
        <v>45717</v>
      </c>
      <c r="B368" s="6" t="s">
        <v>35</v>
      </c>
      <c r="C368" s="6" t="s">
        <v>69</v>
      </c>
      <c r="D368" s="0" t="str">
        <f aca="false">INDEX(Clientes!$B$4:$B$15,MATCH(B368,Clientes!$A$4:$A$15,0))</f>
        <v>Taller Mecánico Hermanos Mora</v>
      </c>
      <c r="E368" s="0" t="str">
        <f aca="false">INDEX(Catalogo_Servicios!$C$4:$C$24,MATCH(C368,Catalogo_Servicios!$A$4:$A$24,0))</f>
        <v>Declaración anual de renta (D-101 / D-105)</v>
      </c>
      <c r="F368" s="15" t="n">
        <v>1.5</v>
      </c>
      <c r="G368" s="16" t="n">
        <f aca="false">Parametros!$B$4</f>
        <v>28681</v>
      </c>
      <c r="H368" s="15" t="n">
        <f aca="false">INDEX(Clientes!$E$4:$E$15,MATCH(B368,Clientes!$A$4:$A$15,0))</f>
        <v>1</v>
      </c>
      <c r="I368" s="16" t="n">
        <f aca="false">ROUND(F368*G368*H368,0)</f>
        <v>43022</v>
      </c>
    </row>
    <row r="369" customFormat="false" ht="15" hidden="false" customHeight="false" outlineLevel="0" collapsed="false">
      <c r="A369" s="14" t="n">
        <v>45717</v>
      </c>
      <c r="B369" s="6" t="s">
        <v>36</v>
      </c>
      <c r="C369" s="6" t="s">
        <v>65</v>
      </c>
      <c r="D369" s="0" t="str">
        <f aca="false">INDEX(Clientes!$B$4:$B$15,MATCH(B369,Clientes!$A$4:$A$15,0))</f>
        <v>Agroservicios Cartago</v>
      </c>
      <c r="E369" s="0" t="str">
        <f aca="false">INDEX(Catalogo_Servicios!$C$4:$C$24,MATCH(C369,Catalogo_Servicios!$A$4:$A$24,0))</f>
        <v>Declaración mensual de IVA (D-104)</v>
      </c>
      <c r="F369" s="15" t="n">
        <v>1</v>
      </c>
      <c r="G369" s="16" t="n">
        <f aca="false">Parametros!$B$4</f>
        <v>28681</v>
      </c>
      <c r="H369" s="15" t="n">
        <f aca="false">INDEX(Clientes!$E$4:$E$15,MATCH(B369,Clientes!$A$4:$A$15,0))</f>
        <v>1</v>
      </c>
      <c r="I369" s="16" t="n">
        <f aca="false">ROUND(F369*G369*H369,0)</f>
        <v>28681</v>
      </c>
    </row>
    <row r="370" customFormat="false" ht="15" hidden="false" customHeight="false" outlineLevel="0" collapsed="false">
      <c r="A370" s="14" t="n">
        <v>45717</v>
      </c>
      <c r="B370" s="6" t="s">
        <v>36</v>
      </c>
      <c r="C370" s="6" t="s">
        <v>66</v>
      </c>
      <c r="D370" s="0" t="str">
        <f aca="false">INDEX(Clientes!$B$4:$B$15,MATCH(B370,Clientes!$A$4:$A$15,0))</f>
        <v>Agroservicios Cartago</v>
      </c>
      <c r="E370" s="0" t="str">
        <f aca="false">INDEX(Catalogo_Servicios!$C$4:$C$24,MATCH(C370,Catalogo_Servicios!$A$4:$A$24,0))</f>
        <v>Declaración mensual de retenciones (D-103)</v>
      </c>
      <c r="F370" s="15" t="n">
        <v>0.25</v>
      </c>
      <c r="G370" s="16" t="n">
        <f aca="false">Parametros!$B$4</f>
        <v>28681</v>
      </c>
      <c r="H370" s="15" t="n">
        <f aca="false">INDEX(Clientes!$E$4:$E$15,MATCH(B370,Clientes!$A$4:$A$15,0))</f>
        <v>1</v>
      </c>
      <c r="I370" s="16" t="n">
        <f aca="false">ROUND(F370*G370*H370,0)</f>
        <v>7170</v>
      </c>
    </row>
    <row r="371" customFormat="false" ht="15" hidden="false" customHeight="false" outlineLevel="0" collapsed="false">
      <c r="A371" s="14" t="n">
        <v>45717</v>
      </c>
      <c r="B371" s="6" t="s">
        <v>36</v>
      </c>
      <c r="C371" s="6" t="s">
        <v>69</v>
      </c>
      <c r="D371" s="0" t="str">
        <f aca="false">INDEX(Clientes!$B$4:$B$15,MATCH(B371,Clientes!$A$4:$A$15,0))</f>
        <v>Agroservicios Cartago</v>
      </c>
      <c r="E371" s="0" t="str">
        <f aca="false">INDEX(Catalogo_Servicios!$C$4:$C$24,MATCH(C371,Catalogo_Servicios!$A$4:$A$24,0))</f>
        <v>Declaración anual de renta (D-101 / D-105)</v>
      </c>
      <c r="F371" s="15" t="n">
        <v>1.5</v>
      </c>
      <c r="G371" s="16" t="n">
        <f aca="false">Parametros!$B$4</f>
        <v>28681</v>
      </c>
      <c r="H371" s="15" t="n">
        <f aca="false">INDEX(Clientes!$E$4:$E$15,MATCH(B371,Clientes!$A$4:$A$15,0))</f>
        <v>1</v>
      </c>
      <c r="I371" s="16" t="n">
        <f aca="false">ROUND(F371*G371*H371,0)</f>
        <v>43022</v>
      </c>
    </row>
    <row r="372" customFormat="false" ht="15" hidden="false" customHeight="false" outlineLevel="0" collapsed="false">
      <c r="A372" s="14" t="n">
        <v>45717</v>
      </c>
      <c r="B372" s="6" t="s">
        <v>37</v>
      </c>
      <c r="C372" s="6" t="s">
        <v>69</v>
      </c>
      <c r="D372" s="0" t="str">
        <f aca="false">INDEX(Clientes!$B$4:$B$15,MATCH(B372,Clientes!$A$4:$A$15,0))</f>
        <v>Estudio Fotográfico Lumière</v>
      </c>
      <c r="E372" s="0" t="str">
        <f aca="false">INDEX(Catalogo_Servicios!$C$4:$C$24,MATCH(C372,Catalogo_Servicios!$A$4:$A$24,0))</f>
        <v>Declaración anual de renta (D-101 / D-105)</v>
      </c>
      <c r="F372" s="15" t="n">
        <v>1.5</v>
      </c>
      <c r="G372" s="16" t="n">
        <f aca="false">Parametros!$B$4</f>
        <v>28681</v>
      </c>
      <c r="H372" s="15" t="n">
        <f aca="false">INDEX(Clientes!$E$4:$E$15,MATCH(B372,Clientes!$A$4:$A$15,0))</f>
        <v>1.1</v>
      </c>
      <c r="I372" s="16" t="n">
        <f aca="false">ROUND(F372*G372*H372,0)</f>
        <v>47324</v>
      </c>
    </row>
    <row r="373" customFormat="false" ht="15" hidden="false" customHeight="false" outlineLevel="0" collapsed="false">
      <c r="A373" s="14" t="n">
        <v>45717</v>
      </c>
      <c r="B373" s="6" t="s">
        <v>38</v>
      </c>
      <c r="C373" s="6" t="s">
        <v>65</v>
      </c>
      <c r="D373" s="0" t="str">
        <f aca="false">INDEX(Clientes!$B$4:$B$15,MATCH(B373,Clientes!$A$4:$A$15,0))</f>
        <v>Panadería La Espiga</v>
      </c>
      <c r="E373" s="0" t="str">
        <f aca="false">INDEX(Catalogo_Servicios!$C$4:$C$24,MATCH(C373,Catalogo_Servicios!$A$4:$A$24,0))</f>
        <v>Declaración mensual de IVA (D-104)</v>
      </c>
      <c r="F373" s="15" t="n">
        <v>0.75</v>
      </c>
      <c r="G373" s="16" t="n">
        <f aca="false">Parametros!$B$4</f>
        <v>28681</v>
      </c>
      <c r="H373" s="15" t="n">
        <f aca="false">INDEX(Clientes!$E$4:$E$15,MATCH(B373,Clientes!$A$4:$A$15,0))</f>
        <v>1</v>
      </c>
      <c r="I373" s="16" t="n">
        <f aca="false">ROUND(F373*G373*H373,0)</f>
        <v>21511</v>
      </c>
    </row>
    <row r="374" customFormat="false" ht="15" hidden="false" customHeight="false" outlineLevel="0" collapsed="false">
      <c r="A374" s="14" t="n">
        <v>45717</v>
      </c>
      <c r="B374" s="6" t="s">
        <v>38</v>
      </c>
      <c r="C374" s="6" t="s">
        <v>67</v>
      </c>
      <c r="D374" s="0" t="str">
        <f aca="false">INDEX(Clientes!$B$4:$B$15,MATCH(B374,Clientes!$A$4:$A$15,0))</f>
        <v>Panadería La Espiga</v>
      </c>
      <c r="E374" s="0" t="str">
        <f aca="false">INDEX(Catalogo_Servicios!$C$4:$C$24,MATCH(C374,Catalogo_Servicios!$A$4:$A$24,0))</f>
        <v>Cálculo de planillas y cargas sociales (CCSS/INS)</v>
      </c>
      <c r="F374" s="15" t="n">
        <v>7</v>
      </c>
      <c r="G374" s="16" t="n">
        <f aca="false">Parametros!$B$4</f>
        <v>28681</v>
      </c>
      <c r="H374" s="15" t="n">
        <f aca="false">INDEX(Clientes!$E$4:$E$15,MATCH(B374,Clientes!$A$4:$A$15,0))</f>
        <v>1</v>
      </c>
      <c r="I374" s="16" t="n">
        <f aca="false">ROUND(F374*G374*H374,0)</f>
        <v>200767</v>
      </c>
    </row>
    <row r="375" customFormat="false" ht="15" hidden="false" customHeight="false" outlineLevel="0" collapsed="false">
      <c r="A375" s="14" t="n">
        <v>45717</v>
      </c>
      <c r="B375" s="6" t="s">
        <v>39</v>
      </c>
      <c r="C375" s="6" t="s">
        <v>69</v>
      </c>
      <c r="D375" s="0" t="str">
        <f aca="false">INDEX(Clientes!$B$4:$B$15,MATCH(B375,Clientes!$A$4:$A$15,0))</f>
        <v>Consultores TIC Pura Vida</v>
      </c>
      <c r="E375" s="0" t="str">
        <f aca="false">INDEX(Catalogo_Servicios!$C$4:$C$24,MATCH(C375,Catalogo_Servicios!$A$4:$A$24,0))</f>
        <v>Declaración anual de renta (D-101 / D-105)</v>
      </c>
      <c r="F375" s="15" t="n">
        <v>1.5</v>
      </c>
      <c r="G375" s="16" t="n">
        <f aca="false">Parametros!$B$4</f>
        <v>28681</v>
      </c>
      <c r="H375" s="15" t="n">
        <f aca="false">INDEX(Clientes!$E$4:$E$15,MATCH(B375,Clientes!$A$4:$A$15,0))</f>
        <v>1</v>
      </c>
      <c r="I375" s="16" t="n">
        <f aca="false">ROUND(F375*G375*H375,0)</f>
        <v>43022</v>
      </c>
    </row>
    <row r="376" customFormat="false" ht="15" hidden="false" customHeight="false" outlineLevel="0" collapsed="false">
      <c r="A376" s="14" t="n">
        <v>45717</v>
      </c>
      <c r="B376" s="6" t="s">
        <v>40</v>
      </c>
      <c r="C376" s="6" t="s">
        <v>69</v>
      </c>
      <c r="D376" s="0" t="str">
        <f aca="false">INDEX(Clientes!$B$4:$B$15,MATCH(B376,Clientes!$A$4:$A$15,0))</f>
        <v>Veterinaria Mascotas Felices</v>
      </c>
      <c r="E376" s="0" t="str">
        <f aca="false">INDEX(Catalogo_Servicios!$C$4:$C$24,MATCH(C376,Catalogo_Servicios!$A$4:$A$24,0))</f>
        <v>Declaración anual de renta (D-101 / D-105)</v>
      </c>
      <c r="F376" s="15" t="n">
        <v>1.5</v>
      </c>
      <c r="G376" s="16" t="n">
        <f aca="false">Parametros!$B$4</f>
        <v>28681</v>
      </c>
      <c r="H376" s="15" t="n">
        <f aca="false">INDEX(Clientes!$E$4:$E$15,MATCH(B376,Clientes!$A$4:$A$15,0))</f>
        <v>1.05</v>
      </c>
      <c r="I376" s="16" t="n">
        <f aca="false">ROUND(F376*G376*H376,0)</f>
        <v>45173</v>
      </c>
    </row>
    <row r="377" customFormat="false" ht="15" hidden="false" customHeight="false" outlineLevel="0" collapsed="false">
      <c r="A377" s="14" t="n">
        <v>45748</v>
      </c>
      <c r="B377" s="6" t="s">
        <v>29</v>
      </c>
      <c r="C377" s="6" t="s">
        <v>64</v>
      </c>
      <c r="D377" s="0" t="str">
        <f aca="false">INDEX(Clientes!$B$4:$B$15,MATCH(B377,Clientes!$A$4:$A$15,0))</f>
        <v>Distribuidora Los Andes S.A.</v>
      </c>
      <c r="E377" s="0" t="str">
        <f aca="false">INDEX(Catalogo_Servicios!$C$4:$C$24,MATCH(C377,Catalogo_Servicios!$A$4:$A$24,0))</f>
        <v>Estados financieros mensuales</v>
      </c>
      <c r="F377" s="15" t="n">
        <v>3</v>
      </c>
      <c r="G377" s="16" t="n">
        <f aca="false">Parametros!$B$4</f>
        <v>28681</v>
      </c>
      <c r="H377" s="15" t="n">
        <f aca="false">INDEX(Clientes!$E$4:$E$15,MATCH(B377,Clientes!$A$4:$A$15,0))</f>
        <v>1</v>
      </c>
      <c r="I377" s="16" t="n">
        <f aca="false">ROUND(F377*G377*H377,0)</f>
        <v>86043</v>
      </c>
    </row>
    <row r="378" customFormat="false" ht="15" hidden="false" customHeight="false" outlineLevel="0" collapsed="false">
      <c r="A378" s="14" t="n">
        <v>45748</v>
      </c>
      <c r="B378" s="6" t="s">
        <v>29</v>
      </c>
      <c r="C378" s="6" t="s">
        <v>65</v>
      </c>
      <c r="D378" s="0" t="str">
        <f aca="false">INDEX(Clientes!$B$4:$B$15,MATCH(B378,Clientes!$A$4:$A$15,0))</f>
        <v>Distribuidora Los Andes S.A.</v>
      </c>
      <c r="E378" s="0" t="str">
        <f aca="false">INDEX(Catalogo_Servicios!$C$4:$C$24,MATCH(C378,Catalogo_Servicios!$A$4:$A$24,0))</f>
        <v>Declaración mensual de IVA (D-104)</v>
      </c>
      <c r="F378" s="15" t="n">
        <v>0.75</v>
      </c>
      <c r="G378" s="16" t="n">
        <f aca="false">Parametros!$B$4</f>
        <v>28681</v>
      </c>
      <c r="H378" s="15" t="n">
        <f aca="false">INDEX(Clientes!$E$4:$E$15,MATCH(B378,Clientes!$A$4:$A$15,0))</f>
        <v>1</v>
      </c>
      <c r="I378" s="16" t="n">
        <f aca="false">ROUND(F378*G378*H378,0)</f>
        <v>21511</v>
      </c>
    </row>
    <row r="379" customFormat="false" ht="15" hidden="false" customHeight="false" outlineLevel="0" collapsed="false">
      <c r="A379" s="14" t="n">
        <v>45748</v>
      </c>
      <c r="B379" s="6" t="s">
        <v>29</v>
      </c>
      <c r="C379" s="6" t="s">
        <v>66</v>
      </c>
      <c r="D379" s="0" t="str">
        <f aca="false">INDEX(Clientes!$B$4:$B$15,MATCH(B379,Clientes!$A$4:$A$15,0))</f>
        <v>Distribuidora Los Andes S.A.</v>
      </c>
      <c r="E379" s="0" t="str">
        <f aca="false">INDEX(Catalogo_Servicios!$C$4:$C$24,MATCH(C379,Catalogo_Servicios!$A$4:$A$24,0))</f>
        <v>Declaración mensual de retenciones (D-103)</v>
      </c>
      <c r="F379" s="15" t="n">
        <v>0.25</v>
      </c>
      <c r="G379" s="16" t="n">
        <f aca="false">Parametros!$B$4</f>
        <v>28681</v>
      </c>
      <c r="H379" s="15" t="n">
        <f aca="false">INDEX(Clientes!$E$4:$E$15,MATCH(B379,Clientes!$A$4:$A$15,0))</f>
        <v>1</v>
      </c>
      <c r="I379" s="16" t="n">
        <f aca="false">ROUND(F379*G379*H379,0)</f>
        <v>7170</v>
      </c>
    </row>
    <row r="380" customFormat="false" ht="15" hidden="false" customHeight="false" outlineLevel="0" collapsed="false">
      <c r="A380" s="14" t="n">
        <v>45748</v>
      </c>
      <c r="B380" s="6" t="s">
        <v>29</v>
      </c>
      <c r="C380" s="6" t="s">
        <v>67</v>
      </c>
      <c r="D380" s="0" t="str">
        <f aca="false">INDEX(Clientes!$B$4:$B$15,MATCH(B380,Clientes!$A$4:$A$15,0))</f>
        <v>Distribuidora Los Andes S.A.</v>
      </c>
      <c r="E380" s="0" t="str">
        <f aca="false">INDEX(Catalogo_Servicios!$C$4:$C$24,MATCH(C380,Catalogo_Servicios!$A$4:$A$24,0))</f>
        <v>Cálculo de planillas y cargas sociales (CCSS/INS)</v>
      </c>
      <c r="F380" s="15" t="n">
        <v>22.5</v>
      </c>
      <c r="G380" s="16" t="n">
        <f aca="false">Parametros!$B$4</f>
        <v>28681</v>
      </c>
      <c r="H380" s="15" t="n">
        <f aca="false">INDEX(Clientes!$E$4:$E$15,MATCH(B380,Clientes!$A$4:$A$15,0))</f>
        <v>1</v>
      </c>
      <c r="I380" s="16" t="n">
        <f aca="false">ROUND(F380*G380*H380,0)</f>
        <v>645323</v>
      </c>
    </row>
    <row r="381" customFormat="false" ht="15" hidden="false" customHeight="false" outlineLevel="0" collapsed="false">
      <c r="A381" s="14" t="n">
        <v>45748</v>
      </c>
      <c r="B381" s="6" t="s">
        <v>30</v>
      </c>
      <c r="C381" s="6" t="s">
        <v>64</v>
      </c>
      <c r="D381" s="0" t="str">
        <f aca="false">INDEX(Clientes!$B$4:$B$15,MATCH(B381,Clientes!$A$4:$A$15,0))</f>
        <v>Ferretería El Tornillo</v>
      </c>
      <c r="E381" s="0" t="str">
        <f aca="false">INDEX(Catalogo_Servicios!$C$4:$C$24,MATCH(C381,Catalogo_Servicios!$A$4:$A$24,0))</f>
        <v>Estados financieros mensuales</v>
      </c>
      <c r="F381" s="15" t="n">
        <v>3.25</v>
      </c>
      <c r="G381" s="16" t="n">
        <f aca="false">Parametros!$B$4</f>
        <v>28681</v>
      </c>
      <c r="H381" s="15" t="n">
        <f aca="false">INDEX(Clientes!$E$4:$E$15,MATCH(B381,Clientes!$A$4:$A$15,0))</f>
        <v>1</v>
      </c>
      <c r="I381" s="16" t="n">
        <f aca="false">ROUND(F381*G381*H381,0)</f>
        <v>93213</v>
      </c>
    </row>
    <row r="382" customFormat="false" ht="15" hidden="false" customHeight="false" outlineLevel="0" collapsed="false">
      <c r="A382" s="14" t="n">
        <v>45748</v>
      </c>
      <c r="B382" s="6" t="s">
        <v>30</v>
      </c>
      <c r="C382" s="6" t="s">
        <v>65</v>
      </c>
      <c r="D382" s="0" t="str">
        <f aca="false">INDEX(Clientes!$B$4:$B$15,MATCH(B382,Clientes!$A$4:$A$15,0))</f>
        <v>Ferretería El Tornillo</v>
      </c>
      <c r="E382" s="0" t="str">
        <f aca="false">INDEX(Catalogo_Servicios!$C$4:$C$24,MATCH(C382,Catalogo_Servicios!$A$4:$A$24,0))</f>
        <v>Declaración mensual de IVA (D-104)</v>
      </c>
      <c r="F382" s="15" t="n">
        <v>0.75</v>
      </c>
      <c r="G382" s="16" t="n">
        <f aca="false">Parametros!$B$4</f>
        <v>28681</v>
      </c>
      <c r="H382" s="15" t="n">
        <f aca="false">INDEX(Clientes!$E$4:$E$15,MATCH(B382,Clientes!$A$4:$A$15,0))</f>
        <v>1</v>
      </c>
      <c r="I382" s="16" t="n">
        <f aca="false">ROUND(F382*G382*H382,0)</f>
        <v>21511</v>
      </c>
    </row>
    <row r="383" customFormat="false" ht="15" hidden="false" customHeight="false" outlineLevel="0" collapsed="false">
      <c r="A383" s="14" t="n">
        <v>45748</v>
      </c>
      <c r="B383" s="6" t="s">
        <v>30</v>
      </c>
      <c r="C383" s="6" t="s">
        <v>66</v>
      </c>
      <c r="D383" s="0" t="str">
        <f aca="false">INDEX(Clientes!$B$4:$B$15,MATCH(B383,Clientes!$A$4:$A$15,0))</f>
        <v>Ferretería El Tornillo</v>
      </c>
      <c r="E383" s="0" t="str">
        <f aca="false">INDEX(Catalogo_Servicios!$C$4:$C$24,MATCH(C383,Catalogo_Servicios!$A$4:$A$24,0))</f>
        <v>Declaración mensual de retenciones (D-103)</v>
      </c>
      <c r="F383" s="15" t="n">
        <v>0.25</v>
      </c>
      <c r="G383" s="16" t="n">
        <f aca="false">Parametros!$B$4</f>
        <v>28681</v>
      </c>
      <c r="H383" s="15" t="n">
        <f aca="false">INDEX(Clientes!$E$4:$E$15,MATCH(B383,Clientes!$A$4:$A$15,0))</f>
        <v>1</v>
      </c>
      <c r="I383" s="16" t="n">
        <f aca="false">ROUND(F383*G383*H383,0)</f>
        <v>7170</v>
      </c>
    </row>
    <row r="384" customFormat="false" ht="15" hidden="false" customHeight="false" outlineLevel="0" collapsed="false">
      <c r="A384" s="14" t="n">
        <v>45748</v>
      </c>
      <c r="B384" s="6" t="s">
        <v>31</v>
      </c>
      <c r="C384" s="6" t="s">
        <v>65</v>
      </c>
      <c r="D384" s="0" t="str">
        <f aca="false">INDEX(Clientes!$B$4:$B$15,MATCH(B384,Clientes!$A$4:$A$15,0))</f>
        <v>Clínica Dental Sonrisa</v>
      </c>
      <c r="E384" s="0" t="str">
        <f aca="false">INDEX(Catalogo_Servicios!$C$4:$C$24,MATCH(C384,Catalogo_Servicios!$A$4:$A$24,0))</f>
        <v>Declaración mensual de IVA (D-104)</v>
      </c>
      <c r="F384" s="15" t="n">
        <v>0.75</v>
      </c>
      <c r="G384" s="16" t="n">
        <f aca="false">Parametros!$B$4</f>
        <v>28681</v>
      </c>
      <c r="H384" s="15" t="n">
        <f aca="false">INDEX(Clientes!$E$4:$E$15,MATCH(B384,Clientes!$A$4:$A$15,0))</f>
        <v>1.1</v>
      </c>
      <c r="I384" s="16" t="n">
        <f aca="false">ROUND(F384*G384*H384,0)</f>
        <v>23662</v>
      </c>
    </row>
    <row r="385" customFormat="false" ht="15" hidden="false" customHeight="false" outlineLevel="0" collapsed="false">
      <c r="A385" s="14" t="n">
        <v>45748</v>
      </c>
      <c r="B385" s="6" t="s">
        <v>32</v>
      </c>
      <c r="C385" s="6" t="s">
        <v>65</v>
      </c>
      <c r="D385" s="0" t="str">
        <f aca="false">INDEX(Clientes!$B$4:$B$15,MATCH(B385,Clientes!$A$4:$A$15,0))</f>
        <v>Soda y Restaurante Doña Lela</v>
      </c>
      <c r="E385" s="0" t="str">
        <f aca="false">INDEX(Catalogo_Servicios!$C$4:$C$24,MATCH(C385,Catalogo_Servicios!$A$4:$A$24,0))</f>
        <v>Declaración mensual de IVA (D-104)</v>
      </c>
      <c r="F385" s="15" t="n">
        <v>0.75</v>
      </c>
      <c r="G385" s="16" t="n">
        <f aca="false">Parametros!$B$4</f>
        <v>28681</v>
      </c>
      <c r="H385" s="15" t="n">
        <f aca="false">INDEX(Clientes!$E$4:$E$15,MATCH(B385,Clientes!$A$4:$A$15,0))</f>
        <v>1</v>
      </c>
      <c r="I385" s="16" t="n">
        <f aca="false">ROUND(F385*G385*H385,0)</f>
        <v>21511</v>
      </c>
    </row>
    <row r="386" customFormat="false" ht="15" hidden="false" customHeight="false" outlineLevel="0" collapsed="false">
      <c r="A386" s="14" t="n">
        <v>45748</v>
      </c>
      <c r="B386" s="6" t="s">
        <v>33</v>
      </c>
      <c r="C386" s="6" t="s">
        <v>65</v>
      </c>
      <c r="D386" s="0" t="str">
        <f aca="false">INDEX(Clientes!$B$4:$B$15,MATCH(B386,Clientes!$A$4:$A$15,0))</f>
        <v>Transportes Rápidos del Valle</v>
      </c>
      <c r="E386" s="0" t="str">
        <f aca="false">INDEX(Catalogo_Servicios!$C$4:$C$24,MATCH(C386,Catalogo_Servicios!$A$4:$A$24,0))</f>
        <v>Declaración mensual de IVA (D-104)</v>
      </c>
      <c r="F386" s="15" t="n">
        <v>0.75</v>
      </c>
      <c r="G386" s="16" t="n">
        <f aca="false">Parametros!$B$4</f>
        <v>28681</v>
      </c>
      <c r="H386" s="15" t="n">
        <f aca="false">INDEX(Clientes!$E$4:$E$15,MATCH(B386,Clientes!$A$4:$A$15,0))</f>
        <v>1</v>
      </c>
      <c r="I386" s="16" t="n">
        <f aca="false">ROUND(F386*G386*H386,0)</f>
        <v>21511</v>
      </c>
    </row>
    <row r="387" customFormat="false" ht="15" hidden="false" customHeight="false" outlineLevel="0" collapsed="false">
      <c r="A387" s="14" t="n">
        <v>45748</v>
      </c>
      <c r="B387" s="6" t="s">
        <v>33</v>
      </c>
      <c r="C387" s="6" t="s">
        <v>66</v>
      </c>
      <c r="D387" s="0" t="str">
        <f aca="false">INDEX(Clientes!$B$4:$B$15,MATCH(B387,Clientes!$A$4:$A$15,0))</f>
        <v>Transportes Rápidos del Valle</v>
      </c>
      <c r="E387" s="0" t="str">
        <f aca="false">INDEX(Catalogo_Servicios!$C$4:$C$24,MATCH(C387,Catalogo_Servicios!$A$4:$A$24,0))</f>
        <v>Declaración mensual de retenciones (D-103)</v>
      </c>
      <c r="F387" s="15" t="n">
        <v>0.25</v>
      </c>
      <c r="G387" s="16" t="n">
        <f aca="false">Parametros!$B$4</f>
        <v>28681</v>
      </c>
      <c r="H387" s="15" t="n">
        <f aca="false">INDEX(Clientes!$E$4:$E$15,MATCH(B387,Clientes!$A$4:$A$15,0))</f>
        <v>1</v>
      </c>
      <c r="I387" s="16" t="n">
        <f aca="false">ROUND(F387*G387*H387,0)</f>
        <v>7170</v>
      </c>
    </row>
    <row r="388" customFormat="false" ht="15" hidden="false" customHeight="false" outlineLevel="0" collapsed="false">
      <c r="A388" s="14" t="n">
        <v>45748</v>
      </c>
      <c r="B388" s="6" t="s">
        <v>33</v>
      </c>
      <c r="C388" s="6" t="s">
        <v>67</v>
      </c>
      <c r="D388" s="0" t="str">
        <f aca="false">INDEX(Clientes!$B$4:$B$15,MATCH(B388,Clientes!$A$4:$A$15,0))</f>
        <v>Transportes Rápidos del Valle</v>
      </c>
      <c r="E388" s="0" t="str">
        <f aca="false">INDEX(Catalogo_Servicios!$C$4:$C$24,MATCH(C388,Catalogo_Servicios!$A$4:$A$24,0))</f>
        <v>Cálculo de planillas y cargas sociales (CCSS/INS)</v>
      </c>
      <c r="F388" s="15" t="n">
        <v>6</v>
      </c>
      <c r="G388" s="16" t="n">
        <f aca="false">Parametros!$B$4</f>
        <v>28681</v>
      </c>
      <c r="H388" s="15" t="n">
        <f aca="false">INDEX(Clientes!$E$4:$E$15,MATCH(B388,Clientes!$A$4:$A$15,0))</f>
        <v>1</v>
      </c>
      <c r="I388" s="16" t="n">
        <f aca="false">ROUND(F388*G388*H388,0)</f>
        <v>172086</v>
      </c>
    </row>
    <row r="389" customFormat="false" ht="15" hidden="false" customHeight="false" outlineLevel="0" collapsed="false">
      <c r="A389" s="14" t="n">
        <v>45748</v>
      </c>
      <c r="B389" s="6" t="s">
        <v>35</v>
      </c>
      <c r="C389" s="6" t="s">
        <v>65</v>
      </c>
      <c r="D389" s="0" t="str">
        <f aca="false">INDEX(Clientes!$B$4:$B$15,MATCH(B389,Clientes!$A$4:$A$15,0))</f>
        <v>Taller Mecánico Hermanos Mora</v>
      </c>
      <c r="E389" s="0" t="str">
        <f aca="false">INDEX(Catalogo_Servicios!$C$4:$C$24,MATCH(C389,Catalogo_Servicios!$A$4:$A$24,0))</f>
        <v>Declaración mensual de IVA (D-104)</v>
      </c>
      <c r="F389" s="15" t="n">
        <v>0.75</v>
      </c>
      <c r="G389" s="16" t="n">
        <f aca="false">Parametros!$B$4</f>
        <v>28681</v>
      </c>
      <c r="H389" s="15" t="n">
        <f aca="false">INDEX(Clientes!$E$4:$E$15,MATCH(B389,Clientes!$A$4:$A$15,0))</f>
        <v>1</v>
      </c>
      <c r="I389" s="16" t="n">
        <f aca="false">ROUND(F389*G389*H389,0)</f>
        <v>21511</v>
      </c>
    </row>
    <row r="390" customFormat="false" ht="15" hidden="false" customHeight="false" outlineLevel="0" collapsed="false">
      <c r="A390" s="14" t="n">
        <v>45748</v>
      </c>
      <c r="B390" s="6" t="s">
        <v>36</v>
      </c>
      <c r="C390" s="6" t="s">
        <v>65</v>
      </c>
      <c r="D390" s="0" t="str">
        <f aca="false">INDEX(Clientes!$B$4:$B$15,MATCH(B390,Clientes!$A$4:$A$15,0))</f>
        <v>Agroservicios Cartago</v>
      </c>
      <c r="E390" s="0" t="str">
        <f aca="false">INDEX(Catalogo_Servicios!$C$4:$C$24,MATCH(C390,Catalogo_Servicios!$A$4:$A$24,0))</f>
        <v>Declaración mensual de IVA (D-104)</v>
      </c>
      <c r="F390" s="15" t="n">
        <v>0.75</v>
      </c>
      <c r="G390" s="16" t="n">
        <f aca="false">Parametros!$B$4</f>
        <v>28681</v>
      </c>
      <c r="H390" s="15" t="n">
        <f aca="false">INDEX(Clientes!$E$4:$E$15,MATCH(B390,Clientes!$A$4:$A$15,0))</f>
        <v>1</v>
      </c>
      <c r="I390" s="16" t="n">
        <f aca="false">ROUND(F390*G390*H390,0)</f>
        <v>21511</v>
      </c>
    </row>
    <row r="391" customFormat="false" ht="15" hidden="false" customHeight="false" outlineLevel="0" collapsed="false">
      <c r="A391" s="14" t="n">
        <v>45748</v>
      </c>
      <c r="B391" s="6" t="s">
        <v>36</v>
      </c>
      <c r="C391" s="6" t="s">
        <v>66</v>
      </c>
      <c r="D391" s="0" t="str">
        <f aca="false">INDEX(Clientes!$B$4:$B$15,MATCH(B391,Clientes!$A$4:$A$15,0))</f>
        <v>Agroservicios Cartago</v>
      </c>
      <c r="E391" s="0" t="str">
        <f aca="false">INDEX(Catalogo_Servicios!$C$4:$C$24,MATCH(C391,Catalogo_Servicios!$A$4:$A$24,0))</f>
        <v>Declaración mensual de retenciones (D-103)</v>
      </c>
      <c r="F391" s="15" t="n">
        <v>0.25</v>
      </c>
      <c r="G391" s="16" t="n">
        <f aca="false">Parametros!$B$4</f>
        <v>28681</v>
      </c>
      <c r="H391" s="15" t="n">
        <f aca="false">INDEX(Clientes!$E$4:$E$15,MATCH(B391,Clientes!$A$4:$A$15,0))</f>
        <v>1</v>
      </c>
      <c r="I391" s="16" t="n">
        <f aca="false">ROUND(F391*G391*H391,0)</f>
        <v>7170</v>
      </c>
    </row>
    <row r="392" customFormat="false" ht="15" hidden="false" customHeight="false" outlineLevel="0" collapsed="false">
      <c r="A392" s="14" t="n">
        <v>45748</v>
      </c>
      <c r="B392" s="6" t="s">
        <v>38</v>
      </c>
      <c r="C392" s="6" t="s">
        <v>65</v>
      </c>
      <c r="D392" s="0" t="str">
        <f aca="false">INDEX(Clientes!$B$4:$B$15,MATCH(B392,Clientes!$A$4:$A$15,0))</f>
        <v>Panadería La Espiga</v>
      </c>
      <c r="E392" s="0" t="str">
        <f aca="false">INDEX(Catalogo_Servicios!$C$4:$C$24,MATCH(C392,Catalogo_Servicios!$A$4:$A$24,0))</f>
        <v>Declaración mensual de IVA (D-104)</v>
      </c>
      <c r="F392" s="15" t="n">
        <v>0.75</v>
      </c>
      <c r="G392" s="16" t="n">
        <f aca="false">Parametros!$B$4</f>
        <v>28681</v>
      </c>
      <c r="H392" s="15" t="n">
        <f aca="false">INDEX(Clientes!$E$4:$E$15,MATCH(B392,Clientes!$A$4:$A$15,0))</f>
        <v>1</v>
      </c>
      <c r="I392" s="16" t="n">
        <f aca="false">ROUND(F392*G392*H392,0)</f>
        <v>21511</v>
      </c>
    </row>
    <row r="393" customFormat="false" ht="15" hidden="false" customHeight="false" outlineLevel="0" collapsed="false">
      <c r="A393" s="14" t="n">
        <v>45748</v>
      </c>
      <c r="B393" s="6" t="s">
        <v>38</v>
      </c>
      <c r="C393" s="6" t="s">
        <v>67</v>
      </c>
      <c r="D393" s="0" t="str">
        <f aca="false">INDEX(Clientes!$B$4:$B$15,MATCH(B393,Clientes!$A$4:$A$15,0))</f>
        <v>Panadería La Espiga</v>
      </c>
      <c r="E393" s="0" t="str">
        <f aca="false">INDEX(Catalogo_Servicios!$C$4:$C$24,MATCH(C393,Catalogo_Servicios!$A$4:$A$24,0))</f>
        <v>Cálculo de planillas y cargas sociales (CCSS/INS)</v>
      </c>
      <c r="F393" s="15" t="n">
        <v>7</v>
      </c>
      <c r="G393" s="16" t="n">
        <f aca="false">Parametros!$B$4</f>
        <v>28681</v>
      </c>
      <c r="H393" s="15" t="n">
        <f aca="false">INDEX(Clientes!$E$4:$E$15,MATCH(B393,Clientes!$A$4:$A$15,0))</f>
        <v>1</v>
      </c>
      <c r="I393" s="16" t="n">
        <f aca="false">ROUND(F393*G393*H393,0)</f>
        <v>200767</v>
      </c>
    </row>
    <row r="394" customFormat="false" ht="15" hidden="false" customHeight="false" outlineLevel="0" collapsed="false">
      <c r="A394" s="14" t="n">
        <v>45748</v>
      </c>
      <c r="B394" s="6" t="s">
        <v>40</v>
      </c>
      <c r="C394" s="6" t="s">
        <v>76</v>
      </c>
      <c r="D394" s="0" t="str">
        <f aca="false">INDEX(Clientes!$B$4:$B$15,MATCH(B394,Clientes!$A$4:$A$15,0))</f>
        <v>Veterinaria Mascotas Felices</v>
      </c>
      <c r="E394" s="0" t="str">
        <f aca="false">INDEX(Catalogo_Servicios!$C$4:$C$24,MATCH(C394,Catalogo_Servicios!$A$4:$A$24,0))</f>
        <v>Estudio especial (control interno, análisis financiero)</v>
      </c>
      <c r="F394" s="15" t="n">
        <v>5</v>
      </c>
      <c r="G394" s="16" t="n">
        <f aca="false">Parametros!$B$4</f>
        <v>28681</v>
      </c>
      <c r="H394" s="15" t="n">
        <f aca="false">INDEX(Clientes!$E$4:$E$15,MATCH(B394,Clientes!$A$4:$A$15,0))</f>
        <v>1.05</v>
      </c>
      <c r="I394" s="16" t="n">
        <f aca="false">ROUND(F394*G394*H394,0)</f>
        <v>150575</v>
      </c>
    </row>
    <row r="395" customFormat="false" ht="15" hidden="false" customHeight="false" outlineLevel="0" collapsed="false">
      <c r="A395" s="14" t="n">
        <v>45778</v>
      </c>
      <c r="B395" s="6" t="s">
        <v>29</v>
      </c>
      <c r="C395" s="6" t="s">
        <v>64</v>
      </c>
      <c r="D395" s="0" t="str">
        <f aca="false">INDEX(Clientes!$B$4:$B$15,MATCH(B395,Clientes!$A$4:$A$15,0))</f>
        <v>Distribuidora Los Andes S.A.</v>
      </c>
      <c r="E395" s="0" t="str">
        <f aca="false">INDEX(Catalogo_Servicios!$C$4:$C$24,MATCH(C395,Catalogo_Servicios!$A$4:$A$24,0))</f>
        <v>Estados financieros mensuales</v>
      </c>
      <c r="F395" s="15" t="n">
        <v>3</v>
      </c>
      <c r="G395" s="16" t="n">
        <f aca="false">Parametros!$B$4</f>
        <v>28681</v>
      </c>
      <c r="H395" s="15" t="n">
        <f aca="false">INDEX(Clientes!$E$4:$E$15,MATCH(B395,Clientes!$A$4:$A$15,0))</f>
        <v>1</v>
      </c>
      <c r="I395" s="16" t="n">
        <f aca="false">ROUND(F395*G395*H395,0)</f>
        <v>86043</v>
      </c>
    </row>
    <row r="396" customFormat="false" ht="15" hidden="false" customHeight="false" outlineLevel="0" collapsed="false">
      <c r="A396" s="14" t="n">
        <v>45778</v>
      </c>
      <c r="B396" s="6" t="s">
        <v>29</v>
      </c>
      <c r="C396" s="6" t="s">
        <v>65</v>
      </c>
      <c r="D396" s="0" t="str">
        <f aca="false">INDEX(Clientes!$B$4:$B$15,MATCH(B396,Clientes!$A$4:$A$15,0))</f>
        <v>Distribuidora Los Andes S.A.</v>
      </c>
      <c r="E396" s="0" t="str">
        <f aca="false">INDEX(Catalogo_Servicios!$C$4:$C$24,MATCH(C396,Catalogo_Servicios!$A$4:$A$24,0))</f>
        <v>Declaración mensual de IVA (D-104)</v>
      </c>
      <c r="F396" s="15" t="n">
        <v>0.75</v>
      </c>
      <c r="G396" s="16" t="n">
        <f aca="false">Parametros!$B$4</f>
        <v>28681</v>
      </c>
      <c r="H396" s="15" t="n">
        <f aca="false">INDEX(Clientes!$E$4:$E$15,MATCH(B396,Clientes!$A$4:$A$15,0))</f>
        <v>1</v>
      </c>
      <c r="I396" s="16" t="n">
        <f aca="false">ROUND(F396*G396*H396,0)</f>
        <v>21511</v>
      </c>
    </row>
    <row r="397" customFormat="false" ht="15" hidden="false" customHeight="false" outlineLevel="0" collapsed="false">
      <c r="A397" s="14" t="n">
        <v>45778</v>
      </c>
      <c r="B397" s="6" t="s">
        <v>29</v>
      </c>
      <c r="C397" s="6" t="s">
        <v>66</v>
      </c>
      <c r="D397" s="0" t="str">
        <f aca="false">INDEX(Clientes!$B$4:$B$15,MATCH(B397,Clientes!$A$4:$A$15,0))</f>
        <v>Distribuidora Los Andes S.A.</v>
      </c>
      <c r="E397" s="0" t="str">
        <f aca="false">INDEX(Catalogo_Servicios!$C$4:$C$24,MATCH(C397,Catalogo_Servicios!$A$4:$A$24,0))</f>
        <v>Declaración mensual de retenciones (D-103)</v>
      </c>
      <c r="F397" s="15" t="n">
        <v>0.25</v>
      </c>
      <c r="G397" s="16" t="n">
        <f aca="false">Parametros!$B$4</f>
        <v>28681</v>
      </c>
      <c r="H397" s="15" t="n">
        <f aca="false">INDEX(Clientes!$E$4:$E$15,MATCH(B397,Clientes!$A$4:$A$15,0))</f>
        <v>1</v>
      </c>
      <c r="I397" s="16" t="n">
        <f aca="false">ROUND(F397*G397*H397,0)</f>
        <v>7170</v>
      </c>
    </row>
    <row r="398" customFormat="false" ht="15" hidden="false" customHeight="false" outlineLevel="0" collapsed="false">
      <c r="A398" s="14" t="n">
        <v>45778</v>
      </c>
      <c r="B398" s="6" t="s">
        <v>29</v>
      </c>
      <c r="C398" s="6" t="s">
        <v>67</v>
      </c>
      <c r="D398" s="0" t="str">
        <f aca="false">INDEX(Clientes!$B$4:$B$15,MATCH(B398,Clientes!$A$4:$A$15,0))</f>
        <v>Distribuidora Los Andes S.A.</v>
      </c>
      <c r="E398" s="0" t="str">
        <f aca="false">INDEX(Catalogo_Servicios!$C$4:$C$24,MATCH(C398,Catalogo_Servicios!$A$4:$A$24,0))</f>
        <v>Cálculo de planillas y cargas sociales (CCSS/INS)</v>
      </c>
      <c r="F398" s="15" t="n">
        <v>22.5</v>
      </c>
      <c r="G398" s="16" t="n">
        <f aca="false">Parametros!$B$4</f>
        <v>28681</v>
      </c>
      <c r="H398" s="15" t="n">
        <f aca="false">INDEX(Clientes!$E$4:$E$15,MATCH(B398,Clientes!$A$4:$A$15,0))</f>
        <v>1</v>
      </c>
      <c r="I398" s="16" t="n">
        <f aca="false">ROUND(F398*G398*H398,0)</f>
        <v>645323</v>
      </c>
    </row>
    <row r="399" customFormat="false" ht="15" hidden="false" customHeight="false" outlineLevel="0" collapsed="false">
      <c r="A399" s="14" t="n">
        <v>45778</v>
      </c>
      <c r="B399" s="6" t="s">
        <v>30</v>
      </c>
      <c r="C399" s="6" t="s">
        <v>64</v>
      </c>
      <c r="D399" s="0" t="str">
        <f aca="false">INDEX(Clientes!$B$4:$B$15,MATCH(B399,Clientes!$A$4:$A$15,0))</f>
        <v>Ferretería El Tornillo</v>
      </c>
      <c r="E399" s="0" t="str">
        <f aca="false">INDEX(Catalogo_Servicios!$C$4:$C$24,MATCH(C399,Catalogo_Servicios!$A$4:$A$24,0))</f>
        <v>Estados financieros mensuales</v>
      </c>
      <c r="F399" s="15" t="n">
        <v>3.25</v>
      </c>
      <c r="G399" s="16" t="n">
        <f aca="false">Parametros!$B$4</f>
        <v>28681</v>
      </c>
      <c r="H399" s="15" t="n">
        <f aca="false">INDEX(Clientes!$E$4:$E$15,MATCH(B399,Clientes!$A$4:$A$15,0))</f>
        <v>1</v>
      </c>
      <c r="I399" s="16" t="n">
        <f aca="false">ROUND(F399*G399*H399,0)</f>
        <v>93213</v>
      </c>
    </row>
    <row r="400" customFormat="false" ht="15" hidden="false" customHeight="false" outlineLevel="0" collapsed="false">
      <c r="A400" s="14" t="n">
        <v>45778</v>
      </c>
      <c r="B400" s="6" t="s">
        <v>30</v>
      </c>
      <c r="C400" s="6" t="s">
        <v>65</v>
      </c>
      <c r="D400" s="0" t="str">
        <f aca="false">INDEX(Clientes!$B$4:$B$15,MATCH(B400,Clientes!$A$4:$A$15,0))</f>
        <v>Ferretería El Tornillo</v>
      </c>
      <c r="E400" s="0" t="str">
        <f aca="false">INDEX(Catalogo_Servicios!$C$4:$C$24,MATCH(C400,Catalogo_Servicios!$A$4:$A$24,0))</f>
        <v>Declaración mensual de IVA (D-104)</v>
      </c>
      <c r="F400" s="15" t="n">
        <v>0.75</v>
      </c>
      <c r="G400" s="16" t="n">
        <f aca="false">Parametros!$B$4</f>
        <v>28681</v>
      </c>
      <c r="H400" s="15" t="n">
        <f aca="false">INDEX(Clientes!$E$4:$E$15,MATCH(B400,Clientes!$A$4:$A$15,0))</f>
        <v>1</v>
      </c>
      <c r="I400" s="16" t="n">
        <f aca="false">ROUND(F400*G400*H400,0)</f>
        <v>21511</v>
      </c>
    </row>
    <row r="401" customFormat="false" ht="15" hidden="false" customHeight="false" outlineLevel="0" collapsed="false">
      <c r="A401" s="14" t="n">
        <v>45778</v>
      </c>
      <c r="B401" s="6" t="s">
        <v>30</v>
      </c>
      <c r="C401" s="6" t="s">
        <v>66</v>
      </c>
      <c r="D401" s="0" t="str">
        <f aca="false">INDEX(Clientes!$B$4:$B$15,MATCH(B401,Clientes!$A$4:$A$15,0))</f>
        <v>Ferretería El Tornillo</v>
      </c>
      <c r="E401" s="0" t="str">
        <f aca="false">INDEX(Catalogo_Servicios!$C$4:$C$24,MATCH(C401,Catalogo_Servicios!$A$4:$A$24,0))</f>
        <v>Declaración mensual de retenciones (D-103)</v>
      </c>
      <c r="F401" s="15" t="n">
        <v>0.25</v>
      </c>
      <c r="G401" s="16" t="n">
        <f aca="false">Parametros!$B$4</f>
        <v>28681</v>
      </c>
      <c r="H401" s="15" t="n">
        <f aca="false">INDEX(Clientes!$E$4:$E$15,MATCH(B401,Clientes!$A$4:$A$15,0))</f>
        <v>1</v>
      </c>
      <c r="I401" s="16" t="n">
        <f aca="false">ROUND(F401*G401*H401,0)</f>
        <v>7170</v>
      </c>
    </row>
    <row r="402" customFormat="false" ht="15" hidden="false" customHeight="false" outlineLevel="0" collapsed="false">
      <c r="A402" s="14" t="n">
        <v>45778</v>
      </c>
      <c r="B402" s="6" t="s">
        <v>31</v>
      </c>
      <c r="C402" s="6" t="s">
        <v>65</v>
      </c>
      <c r="D402" s="0" t="str">
        <f aca="false">INDEX(Clientes!$B$4:$B$15,MATCH(B402,Clientes!$A$4:$A$15,0))</f>
        <v>Clínica Dental Sonrisa</v>
      </c>
      <c r="E402" s="0" t="str">
        <f aca="false">INDEX(Catalogo_Servicios!$C$4:$C$24,MATCH(C402,Catalogo_Servicios!$A$4:$A$24,0))</f>
        <v>Declaración mensual de IVA (D-104)</v>
      </c>
      <c r="F402" s="15" t="n">
        <v>0.75</v>
      </c>
      <c r="G402" s="16" t="n">
        <f aca="false">Parametros!$B$4</f>
        <v>28681</v>
      </c>
      <c r="H402" s="15" t="n">
        <f aca="false">INDEX(Clientes!$E$4:$E$15,MATCH(B402,Clientes!$A$4:$A$15,0))</f>
        <v>1.1</v>
      </c>
      <c r="I402" s="16" t="n">
        <f aca="false">ROUND(F402*G402*H402,0)</f>
        <v>23662</v>
      </c>
    </row>
    <row r="403" customFormat="false" ht="15" hidden="false" customHeight="false" outlineLevel="0" collapsed="false">
      <c r="A403" s="14" t="n">
        <v>45778</v>
      </c>
      <c r="B403" s="6" t="s">
        <v>32</v>
      </c>
      <c r="C403" s="6" t="s">
        <v>65</v>
      </c>
      <c r="D403" s="0" t="str">
        <f aca="false">INDEX(Clientes!$B$4:$B$15,MATCH(B403,Clientes!$A$4:$A$15,0))</f>
        <v>Soda y Restaurante Doña Lela</v>
      </c>
      <c r="E403" s="0" t="str">
        <f aca="false">INDEX(Catalogo_Servicios!$C$4:$C$24,MATCH(C403,Catalogo_Servicios!$A$4:$A$24,0))</f>
        <v>Declaración mensual de IVA (D-104)</v>
      </c>
      <c r="F403" s="15" t="n">
        <v>0.75</v>
      </c>
      <c r="G403" s="16" t="n">
        <f aca="false">Parametros!$B$4</f>
        <v>28681</v>
      </c>
      <c r="H403" s="15" t="n">
        <f aca="false">INDEX(Clientes!$E$4:$E$15,MATCH(B403,Clientes!$A$4:$A$15,0))</f>
        <v>1</v>
      </c>
      <c r="I403" s="16" t="n">
        <f aca="false">ROUND(F403*G403*H403,0)</f>
        <v>21511</v>
      </c>
    </row>
    <row r="404" customFormat="false" ht="15" hidden="false" customHeight="false" outlineLevel="0" collapsed="false">
      <c r="A404" s="14" t="n">
        <v>45778</v>
      </c>
      <c r="B404" s="6" t="s">
        <v>33</v>
      </c>
      <c r="C404" s="6" t="s">
        <v>65</v>
      </c>
      <c r="D404" s="0" t="str">
        <f aca="false">INDEX(Clientes!$B$4:$B$15,MATCH(B404,Clientes!$A$4:$A$15,0))</f>
        <v>Transportes Rápidos del Valle</v>
      </c>
      <c r="E404" s="0" t="str">
        <f aca="false">INDEX(Catalogo_Servicios!$C$4:$C$24,MATCH(C404,Catalogo_Servicios!$A$4:$A$24,0))</f>
        <v>Declaración mensual de IVA (D-104)</v>
      </c>
      <c r="F404" s="15" t="n">
        <v>0.75</v>
      </c>
      <c r="G404" s="16" t="n">
        <f aca="false">Parametros!$B$4</f>
        <v>28681</v>
      </c>
      <c r="H404" s="15" t="n">
        <f aca="false">INDEX(Clientes!$E$4:$E$15,MATCH(B404,Clientes!$A$4:$A$15,0))</f>
        <v>1</v>
      </c>
      <c r="I404" s="16" t="n">
        <f aca="false">ROUND(F404*G404*H404,0)</f>
        <v>21511</v>
      </c>
    </row>
    <row r="405" customFormat="false" ht="15" hidden="false" customHeight="false" outlineLevel="0" collapsed="false">
      <c r="A405" s="14" t="n">
        <v>45778</v>
      </c>
      <c r="B405" s="6" t="s">
        <v>33</v>
      </c>
      <c r="C405" s="6" t="s">
        <v>66</v>
      </c>
      <c r="D405" s="0" t="str">
        <f aca="false">INDEX(Clientes!$B$4:$B$15,MATCH(B405,Clientes!$A$4:$A$15,0))</f>
        <v>Transportes Rápidos del Valle</v>
      </c>
      <c r="E405" s="0" t="str">
        <f aca="false">INDEX(Catalogo_Servicios!$C$4:$C$24,MATCH(C405,Catalogo_Servicios!$A$4:$A$24,0))</f>
        <v>Declaración mensual de retenciones (D-103)</v>
      </c>
      <c r="F405" s="15" t="n">
        <v>0.25</v>
      </c>
      <c r="G405" s="16" t="n">
        <f aca="false">Parametros!$B$4</f>
        <v>28681</v>
      </c>
      <c r="H405" s="15" t="n">
        <f aca="false">INDEX(Clientes!$E$4:$E$15,MATCH(B405,Clientes!$A$4:$A$15,0))</f>
        <v>1</v>
      </c>
      <c r="I405" s="16" t="n">
        <f aca="false">ROUND(F405*G405*H405,0)</f>
        <v>7170</v>
      </c>
    </row>
    <row r="406" customFormat="false" ht="15" hidden="false" customHeight="false" outlineLevel="0" collapsed="false">
      <c r="A406" s="14" t="n">
        <v>45778</v>
      </c>
      <c r="B406" s="6" t="s">
        <v>33</v>
      </c>
      <c r="C406" s="6" t="s">
        <v>67</v>
      </c>
      <c r="D406" s="0" t="str">
        <f aca="false">INDEX(Clientes!$B$4:$B$15,MATCH(B406,Clientes!$A$4:$A$15,0))</f>
        <v>Transportes Rápidos del Valle</v>
      </c>
      <c r="E406" s="0" t="str">
        <f aca="false">INDEX(Catalogo_Servicios!$C$4:$C$24,MATCH(C406,Catalogo_Servicios!$A$4:$A$24,0))</f>
        <v>Cálculo de planillas y cargas sociales (CCSS/INS)</v>
      </c>
      <c r="F406" s="15" t="n">
        <v>5.5</v>
      </c>
      <c r="G406" s="16" t="n">
        <f aca="false">Parametros!$B$4</f>
        <v>28681</v>
      </c>
      <c r="H406" s="15" t="n">
        <f aca="false">INDEX(Clientes!$E$4:$E$15,MATCH(B406,Clientes!$A$4:$A$15,0))</f>
        <v>1</v>
      </c>
      <c r="I406" s="16" t="n">
        <f aca="false">ROUND(F406*G406*H406,0)</f>
        <v>157746</v>
      </c>
    </row>
    <row r="407" customFormat="false" ht="15" hidden="false" customHeight="false" outlineLevel="0" collapsed="false">
      <c r="A407" s="14" t="n">
        <v>45778</v>
      </c>
      <c r="B407" s="6" t="s">
        <v>35</v>
      </c>
      <c r="C407" s="6" t="s">
        <v>65</v>
      </c>
      <c r="D407" s="0" t="str">
        <f aca="false">INDEX(Clientes!$B$4:$B$15,MATCH(B407,Clientes!$A$4:$A$15,0))</f>
        <v>Taller Mecánico Hermanos Mora</v>
      </c>
      <c r="E407" s="0" t="str">
        <f aca="false">INDEX(Catalogo_Servicios!$C$4:$C$24,MATCH(C407,Catalogo_Servicios!$A$4:$A$24,0))</f>
        <v>Declaración mensual de IVA (D-104)</v>
      </c>
      <c r="F407" s="15" t="n">
        <v>0.75</v>
      </c>
      <c r="G407" s="16" t="n">
        <f aca="false">Parametros!$B$4</f>
        <v>28681</v>
      </c>
      <c r="H407" s="15" t="n">
        <f aca="false">INDEX(Clientes!$E$4:$E$15,MATCH(B407,Clientes!$A$4:$A$15,0))</f>
        <v>1</v>
      </c>
      <c r="I407" s="16" t="n">
        <f aca="false">ROUND(F407*G407*H407,0)</f>
        <v>21511</v>
      </c>
    </row>
    <row r="408" customFormat="false" ht="15" hidden="false" customHeight="false" outlineLevel="0" collapsed="false">
      <c r="A408" s="14" t="n">
        <v>45778</v>
      </c>
      <c r="B408" s="6" t="s">
        <v>36</v>
      </c>
      <c r="C408" s="6" t="s">
        <v>65</v>
      </c>
      <c r="D408" s="0" t="str">
        <f aca="false">INDEX(Clientes!$B$4:$B$15,MATCH(B408,Clientes!$A$4:$A$15,0))</f>
        <v>Agroservicios Cartago</v>
      </c>
      <c r="E408" s="0" t="str">
        <f aca="false">INDEX(Catalogo_Servicios!$C$4:$C$24,MATCH(C408,Catalogo_Servicios!$A$4:$A$24,0))</f>
        <v>Declaración mensual de IVA (D-104)</v>
      </c>
      <c r="F408" s="15" t="n">
        <v>0.75</v>
      </c>
      <c r="G408" s="16" t="n">
        <f aca="false">Parametros!$B$4</f>
        <v>28681</v>
      </c>
      <c r="H408" s="15" t="n">
        <f aca="false">INDEX(Clientes!$E$4:$E$15,MATCH(B408,Clientes!$A$4:$A$15,0))</f>
        <v>1</v>
      </c>
      <c r="I408" s="16" t="n">
        <f aca="false">ROUND(F408*G408*H408,0)</f>
        <v>21511</v>
      </c>
    </row>
    <row r="409" customFormat="false" ht="15" hidden="false" customHeight="false" outlineLevel="0" collapsed="false">
      <c r="A409" s="14" t="n">
        <v>45778</v>
      </c>
      <c r="B409" s="6" t="s">
        <v>36</v>
      </c>
      <c r="C409" s="6" t="s">
        <v>66</v>
      </c>
      <c r="D409" s="0" t="str">
        <f aca="false">INDEX(Clientes!$B$4:$B$15,MATCH(B409,Clientes!$A$4:$A$15,0))</f>
        <v>Agroservicios Cartago</v>
      </c>
      <c r="E409" s="0" t="str">
        <f aca="false">INDEX(Catalogo_Servicios!$C$4:$C$24,MATCH(C409,Catalogo_Servicios!$A$4:$A$24,0))</f>
        <v>Declaración mensual de retenciones (D-103)</v>
      </c>
      <c r="F409" s="15" t="n">
        <v>0.25</v>
      </c>
      <c r="G409" s="16" t="n">
        <f aca="false">Parametros!$B$4</f>
        <v>28681</v>
      </c>
      <c r="H409" s="15" t="n">
        <f aca="false">INDEX(Clientes!$E$4:$E$15,MATCH(B409,Clientes!$A$4:$A$15,0))</f>
        <v>1</v>
      </c>
      <c r="I409" s="16" t="n">
        <f aca="false">ROUND(F409*G409*H409,0)</f>
        <v>7170</v>
      </c>
    </row>
    <row r="410" customFormat="false" ht="15" hidden="false" customHeight="false" outlineLevel="0" collapsed="false">
      <c r="A410" s="14" t="n">
        <v>45778</v>
      </c>
      <c r="B410" s="6" t="s">
        <v>38</v>
      </c>
      <c r="C410" s="6" t="s">
        <v>65</v>
      </c>
      <c r="D410" s="0" t="str">
        <f aca="false">INDEX(Clientes!$B$4:$B$15,MATCH(B410,Clientes!$A$4:$A$15,0))</f>
        <v>Panadería La Espiga</v>
      </c>
      <c r="E410" s="0" t="str">
        <f aca="false">INDEX(Catalogo_Servicios!$C$4:$C$24,MATCH(C410,Catalogo_Servicios!$A$4:$A$24,0))</f>
        <v>Declaración mensual de IVA (D-104)</v>
      </c>
      <c r="F410" s="15" t="n">
        <v>0.75</v>
      </c>
      <c r="G410" s="16" t="n">
        <f aca="false">Parametros!$B$4</f>
        <v>28681</v>
      </c>
      <c r="H410" s="15" t="n">
        <f aca="false">INDEX(Clientes!$E$4:$E$15,MATCH(B410,Clientes!$A$4:$A$15,0))</f>
        <v>1</v>
      </c>
      <c r="I410" s="16" t="n">
        <f aca="false">ROUND(F410*G410*H410,0)</f>
        <v>21511</v>
      </c>
    </row>
    <row r="411" customFormat="false" ht="15" hidden="false" customHeight="false" outlineLevel="0" collapsed="false">
      <c r="A411" s="14" t="n">
        <v>45778</v>
      </c>
      <c r="B411" s="6" t="s">
        <v>38</v>
      </c>
      <c r="C411" s="6" t="s">
        <v>67</v>
      </c>
      <c r="D411" s="0" t="str">
        <f aca="false">INDEX(Clientes!$B$4:$B$15,MATCH(B411,Clientes!$A$4:$A$15,0))</f>
        <v>Panadería La Espiga</v>
      </c>
      <c r="E411" s="0" t="str">
        <f aca="false">INDEX(Catalogo_Servicios!$C$4:$C$24,MATCH(C411,Catalogo_Servicios!$A$4:$A$24,0))</f>
        <v>Cálculo de planillas y cargas sociales (CCSS/INS)</v>
      </c>
      <c r="F411" s="15" t="n">
        <v>7.5</v>
      </c>
      <c r="G411" s="16" t="n">
        <f aca="false">Parametros!$B$4</f>
        <v>28681</v>
      </c>
      <c r="H411" s="15" t="n">
        <f aca="false">INDEX(Clientes!$E$4:$E$15,MATCH(B411,Clientes!$A$4:$A$15,0))</f>
        <v>1</v>
      </c>
      <c r="I411" s="16" t="n">
        <f aca="false">ROUND(F411*G411*H411,0)</f>
        <v>215108</v>
      </c>
    </row>
    <row r="412" customFormat="false" ht="15" hidden="false" customHeight="false" outlineLevel="0" collapsed="false">
      <c r="A412" s="14" t="n">
        <v>45809</v>
      </c>
      <c r="B412" s="6" t="s">
        <v>29</v>
      </c>
      <c r="C412" s="6" t="s">
        <v>64</v>
      </c>
      <c r="D412" s="0" t="str">
        <f aca="false">INDEX(Clientes!$B$4:$B$15,MATCH(B412,Clientes!$A$4:$A$15,0))</f>
        <v>Distribuidora Los Andes S.A.</v>
      </c>
      <c r="E412" s="0" t="str">
        <f aca="false">INDEX(Catalogo_Servicios!$C$4:$C$24,MATCH(C412,Catalogo_Servicios!$A$4:$A$24,0))</f>
        <v>Estados financieros mensuales</v>
      </c>
      <c r="F412" s="15" t="n">
        <v>3</v>
      </c>
      <c r="G412" s="16" t="n">
        <f aca="false">Parametros!$B$4</f>
        <v>28681</v>
      </c>
      <c r="H412" s="15" t="n">
        <f aca="false">INDEX(Clientes!$E$4:$E$15,MATCH(B412,Clientes!$A$4:$A$15,0))</f>
        <v>1</v>
      </c>
      <c r="I412" s="16" t="n">
        <f aca="false">ROUND(F412*G412*H412,0)</f>
        <v>86043</v>
      </c>
    </row>
    <row r="413" customFormat="false" ht="15" hidden="false" customHeight="false" outlineLevel="0" collapsed="false">
      <c r="A413" s="14" t="n">
        <v>45809</v>
      </c>
      <c r="B413" s="6" t="s">
        <v>29</v>
      </c>
      <c r="C413" s="6" t="s">
        <v>65</v>
      </c>
      <c r="D413" s="0" t="str">
        <f aca="false">INDEX(Clientes!$B$4:$B$15,MATCH(B413,Clientes!$A$4:$A$15,0))</f>
        <v>Distribuidora Los Andes S.A.</v>
      </c>
      <c r="E413" s="0" t="str">
        <f aca="false">INDEX(Catalogo_Servicios!$C$4:$C$24,MATCH(C413,Catalogo_Servicios!$A$4:$A$24,0))</f>
        <v>Declaración mensual de IVA (D-104)</v>
      </c>
      <c r="F413" s="15" t="n">
        <v>0.75</v>
      </c>
      <c r="G413" s="16" t="n">
        <f aca="false">Parametros!$B$4</f>
        <v>28681</v>
      </c>
      <c r="H413" s="15" t="n">
        <f aca="false">INDEX(Clientes!$E$4:$E$15,MATCH(B413,Clientes!$A$4:$A$15,0))</f>
        <v>1</v>
      </c>
      <c r="I413" s="16" t="n">
        <f aca="false">ROUND(F413*G413*H413,0)</f>
        <v>21511</v>
      </c>
    </row>
    <row r="414" customFormat="false" ht="15" hidden="false" customHeight="false" outlineLevel="0" collapsed="false">
      <c r="A414" s="14" t="n">
        <v>45809</v>
      </c>
      <c r="B414" s="6" t="s">
        <v>29</v>
      </c>
      <c r="C414" s="6" t="s">
        <v>66</v>
      </c>
      <c r="D414" s="0" t="str">
        <f aca="false">INDEX(Clientes!$B$4:$B$15,MATCH(B414,Clientes!$A$4:$A$15,0))</f>
        <v>Distribuidora Los Andes S.A.</v>
      </c>
      <c r="E414" s="0" t="str">
        <f aca="false">INDEX(Catalogo_Servicios!$C$4:$C$24,MATCH(C414,Catalogo_Servicios!$A$4:$A$24,0))</f>
        <v>Declaración mensual de retenciones (D-103)</v>
      </c>
      <c r="F414" s="15" t="n">
        <v>0.25</v>
      </c>
      <c r="G414" s="16" t="n">
        <f aca="false">Parametros!$B$4</f>
        <v>28681</v>
      </c>
      <c r="H414" s="15" t="n">
        <f aca="false">INDEX(Clientes!$E$4:$E$15,MATCH(B414,Clientes!$A$4:$A$15,0))</f>
        <v>1</v>
      </c>
      <c r="I414" s="16" t="n">
        <f aca="false">ROUND(F414*G414*H414,0)</f>
        <v>7170</v>
      </c>
    </row>
    <row r="415" customFormat="false" ht="15" hidden="false" customHeight="false" outlineLevel="0" collapsed="false">
      <c r="A415" s="14" t="n">
        <v>45809</v>
      </c>
      <c r="B415" s="6" t="s">
        <v>29</v>
      </c>
      <c r="C415" s="6" t="s">
        <v>67</v>
      </c>
      <c r="D415" s="0" t="str">
        <f aca="false">INDEX(Clientes!$B$4:$B$15,MATCH(B415,Clientes!$A$4:$A$15,0))</f>
        <v>Distribuidora Los Andes S.A.</v>
      </c>
      <c r="E415" s="0" t="str">
        <f aca="false">INDEX(Catalogo_Servicios!$C$4:$C$24,MATCH(C415,Catalogo_Servicios!$A$4:$A$24,0))</f>
        <v>Cálculo de planillas y cargas sociales (CCSS/INS)</v>
      </c>
      <c r="F415" s="15" t="n">
        <v>27.5</v>
      </c>
      <c r="G415" s="16" t="n">
        <f aca="false">Parametros!$B$4</f>
        <v>28681</v>
      </c>
      <c r="H415" s="15" t="n">
        <f aca="false">INDEX(Clientes!$E$4:$E$15,MATCH(B415,Clientes!$A$4:$A$15,0))</f>
        <v>1</v>
      </c>
      <c r="I415" s="16" t="n">
        <f aca="false">ROUND(F415*G415*H415,0)</f>
        <v>788728</v>
      </c>
    </row>
    <row r="416" customFormat="false" ht="15" hidden="false" customHeight="false" outlineLevel="0" collapsed="false">
      <c r="A416" s="14" t="n">
        <v>45809</v>
      </c>
      <c r="B416" s="6" t="s">
        <v>30</v>
      </c>
      <c r="C416" s="6" t="s">
        <v>64</v>
      </c>
      <c r="D416" s="0" t="str">
        <f aca="false">INDEX(Clientes!$B$4:$B$15,MATCH(B416,Clientes!$A$4:$A$15,0))</f>
        <v>Ferretería El Tornillo</v>
      </c>
      <c r="E416" s="0" t="str">
        <f aca="false">INDEX(Catalogo_Servicios!$C$4:$C$24,MATCH(C416,Catalogo_Servicios!$A$4:$A$24,0))</f>
        <v>Estados financieros mensuales</v>
      </c>
      <c r="F416" s="15" t="n">
        <v>3.25</v>
      </c>
      <c r="G416" s="16" t="n">
        <f aca="false">Parametros!$B$4</f>
        <v>28681</v>
      </c>
      <c r="H416" s="15" t="n">
        <f aca="false">INDEX(Clientes!$E$4:$E$15,MATCH(B416,Clientes!$A$4:$A$15,0))</f>
        <v>1</v>
      </c>
      <c r="I416" s="16" t="n">
        <f aca="false">ROUND(F416*G416*H416,0)</f>
        <v>93213</v>
      </c>
    </row>
    <row r="417" customFormat="false" ht="15" hidden="false" customHeight="false" outlineLevel="0" collapsed="false">
      <c r="A417" s="14" t="n">
        <v>45809</v>
      </c>
      <c r="B417" s="6" t="s">
        <v>30</v>
      </c>
      <c r="C417" s="6" t="s">
        <v>65</v>
      </c>
      <c r="D417" s="0" t="str">
        <f aca="false">INDEX(Clientes!$B$4:$B$15,MATCH(B417,Clientes!$A$4:$A$15,0))</f>
        <v>Ferretería El Tornillo</v>
      </c>
      <c r="E417" s="0" t="str">
        <f aca="false">INDEX(Catalogo_Servicios!$C$4:$C$24,MATCH(C417,Catalogo_Servicios!$A$4:$A$24,0))</f>
        <v>Declaración mensual de IVA (D-104)</v>
      </c>
      <c r="F417" s="15" t="n">
        <v>0.75</v>
      </c>
      <c r="G417" s="16" t="n">
        <f aca="false">Parametros!$B$4</f>
        <v>28681</v>
      </c>
      <c r="H417" s="15" t="n">
        <f aca="false">INDEX(Clientes!$E$4:$E$15,MATCH(B417,Clientes!$A$4:$A$15,0))</f>
        <v>1</v>
      </c>
      <c r="I417" s="16" t="n">
        <f aca="false">ROUND(F417*G417*H417,0)</f>
        <v>21511</v>
      </c>
    </row>
    <row r="418" customFormat="false" ht="15" hidden="false" customHeight="false" outlineLevel="0" collapsed="false">
      <c r="A418" s="14" t="n">
        <v>45809</v>
      </c>
      <c r="B418" s="6" t="s">
        <v>30</v>
      </c>
      <c r="C418" s="6" t="s">
        <v>66</v>
      </c>
      <c r="D418" s="0" t="str">
        <f aca="false">INDEX(Clientes!$B$4:$B$15,MATCH(B418,Clientes!$A$4:$A$15,0))</f>
        <v>Ferretería El Tornillo</v>
      </c>
      <c r="E418" s="0" t="str">
        <f aca="false">INDEX(Catalogo_Servicios!$C$4:$C$24,MATCH(C418,Catalogo_Servicios!$A$4:$A$24,0))</f>
        <v>Declaración mensual de retenciones (D-103)</v>
      </c>
      <c r="F418" s="15" t="n">
        <v>0.25</v>
      </c>
      <c r="G418" s="16" t="n">
        <f aca="false">Parametros!$B$4</f>
        <v>28681</v>
      </c>
      <c r="H418" s="15" t="n">
        <f aca="false">INDEX(Clientes!$E$4:$E$15,MATCH(B418,Clientes!$A$4:$A$15,0))</f>
        <v>1</v>
      </c>
      <c r="I418" s="16" t="n">
        <f aca="false">ROUND(F418*G418*H418,0)</f>
        <v>7170</v>
      </c>
    </row>
    <row r="419" customFormat="false" ht="15" hidden="false" customHeight="false" outlineLevel="0" collapsed="false">
      <c r="A419" s="14" t="n">
        <v>45809</v>
      </c>
      <c r="B419" s="6" t="s">
        <v>30</v>
      </c>
      <c r="C419" s="6" t="s">
        <v>74</v>
      </c>
      <c r="D419" s="0" t="str">
        <f aca="false">INDEX(Clientes!$B$4:$B$15,MATCH(B419,Clientes!$A$4:$A$15,0))</f>
        <v>Ferretería El Tornillo</v>
      </c>
      <c r="E419" s="0" t="str">
        <f aca="false">INDEX(Catalogo_Servicios!$C$4:$C$24,MATCH(C419,Catalogo_Servicios!$A$4:$A$24,0))</f>
        <v>Certificación de ingresos y estudios generales</v>
      </c>
      <c r="F419" s="15" t="n">
        <v>3</v>
      </c>
      <c r="G419" s="16" t="n">
        <f aca="false">Parametros!$B$4</f>
        <v>28681</v>
      </c>
      <c r="H419" s="15" t="n">
        <f aca="false">INDEX(Clientes!$E$4:$E$15,MATCH(B419,Clientes!$A$4:$A$15,0))</f>
        <v>1</v>
      </c>
      <c r="I419" s="16" t="n">
        <f aca="false">ROUND(F419*G419*H419,0)</f>
        <v>86043</v>
      </c>
    </row>
    <row r="420" customFormat="false" ht="15" hidden="false" customHeight="false" outlineLevel="0" collapsed="false">
      <c r="A420" s="14" t="n">
        <v>45809</v>
      </c>
      <c r="B420" s="6" t="s">
        <v>31</v>
      </c>
      <c r="C420" s="6" t="s">
        <v>65</v>
      </c>
      <c r="D420" s="0" t="str">
        <f aca="false">INDEX(Clientes!$B$4:$B$15,MATCH(B420,Clientes!$A$4:$A$15,0))</f>
        <v>Clínica Dental Sonrisa</v>
      </c>
      <c r="E420" s="0" t="str">
        <f aca="false">INDEX(Catalogo_Servicios!$C$4:$C$24,MATCH(C420,Catalogo_Servicios!$A$4:$A$24,0))</f>
        <v>Declaración mensual de IVA (D-104)</v>
      </c>
      <c r="F420" s="15" t="n">
        <v>0.75</v>
      </c>
      <c r="G420" s="16" t="n">
        <f aca="false">Parametros!$B$4</f>
        <v>28681</v>
      </c>
      <c r="H420" s="15" t="n">
        <f aca="false">INDEX(Clientes!$E$4:$E$15,MATCH(B420,Clientes!$A$4:$A$15,0))</f>
        <v>1.1</v>
      </c>
      <c r="I420" s="16" t="n">
        <f aca="false">ROUND(F420*G420*H420,0)</f>
        <v>23662</v>
      </c>
    </row>
    <row r="421" customFormat="false" ht="15" hidden="false" customHeight="false" outlineLevel="0" collapsed="false">
      <c r="A421" s="14" t="n">
        <v>45809</v>
      </c>
      <c r="B421" s="6" t="s">
        <v>32</v>
      </c>
      <c r="C421" s="6" t="s">
        <v>65</v>
      </c>
      <c r="D421" s="0" t="str">
        <f aca="false">INDEX(Clientes!$B$4:$B$15,MATCH(B421,Clientes!$A$4:$A$15,0))</f>
        <v>Soda y Restaurante Doña Lela</v>
      </c>
      <c r="E421" s="0" t="str">
        <f aca="false">INDEX(Catalogo_Servicios!$C$4:$C$24,MATCH(C421,Catalogo_Servicios!$A$4:$A$24,0))</f>
        <v>Declaración mensual de IVA (D-104)</v>
      </c>
      <c r="F421" s="15" t="n">
        <v>0.75</v>
      </c>
      <c r="G421" s="16" t="n">
        <f aca="false">Parametros!$B$4</f>
        <v>28681</v>
      </c>
      <c r="H421" s="15" t="n">
        <f aca="false">INDEX(Clientes!$E$4:$E$15,MATCH(B421,Clientes!$A$4:$A$15,0))</f>
        <v>1</v>
      </c>
      <c r="I421" s="16" t="n">
        <f aca="false">ROUND(F421*G421*H421,0)</f>
        <v>21511</v>
      </c>
    </row>
    <row r="422" customFormat="false" ht="15" hidden="false" customHeight="false" outlineLevel="0" collapsed="false">
      <c r="A422" s="14" t="n">
        <v>45809</v>
      </c>
      <c r="B422" s="6" t="s">
        <v>33</v>
      </c>
      <c r="C422" s="6" t="s">
        <v>65</v>
      </c>
      <c r="D422" s="0" t="str">
        <f aca="false">INDEX(Clientes!$B$4:$B$15,MATCH(B422,Clientes!$A$4:$A$15,0))</f>
        <v>Transportes Rápidos del Valle</v>
      </c>
      <c r="E422" s="0" t="str">
        <f aca="false">INDEX(Catalogo_Servicios!$C$4:$C$24,MATCH(C422,Catalogo_Servicios!$A$4:$A$24,0))</f>
        <v>Declaración mensual de IVA (D-104)</v>
      </c>
      <c r="F422" s="15" t="n">
        <v>1</v>
      </c>
      <c r="G422" s="16" t="n">
        <f aca="false">Parametros!$B$4</f>
        <v>28681</v>
      </c>
      <c r="H422" s="15" t="n">
        <f aca="false">INDEX(Clientes!$E$4:$E$15,MATCH(B422,Clientes!$A$4:$A$15,0))</f>
        <v>1</v>
      </c>
      <c r="I422" s="16" t="n">
        <f aca="false">ROUND(F422*G422*H422,0)</f>
        <v>28681</v>
      </c>
    </row>
    <row r="423" customFormat="false" ht="15" hidden="false" customHeight="false" outlineLevel="0" collapsed="false">
      <c r="A423" s="14" t="n">
        <v>45809</v>
      </c>
      <c r="B423" s="6" t="s">
        <v>33</v>
      </c>
      <c r="C423" s="6" t="s">
        <v>66</v>
      </c>
      <c r="D423" s="0" t="str">
        <f aca="false">INDEX(Clientes!$B$4:$B$15,MATCH(B423,Clientes!$A$4:$A$15,0))</f>
        <v>Transportes Rápidos del Valle</v>
      </c>
      <c r="E423" s="0" t="str">
        <f aca="false">INDEX(Catalogo_Servicios!$C$4:$C$24,MATCH(C423,Catalogo_Servicios!$A$4:$A$24,0))</f>
        <v>Declaración mensual de retenciones (D-103)</v>
      </c>
      <c r="F423" s="15" t="n">
        <v>0.25</v>
      </c>
      <c r="G423" s="16" t="n">
        <f aca="false">Parametros!$B$4</f>
        <v>28681</v>
      </c>
      <c r="H423" s="15" t="n">
        <f aca="false">INDEX(Clientes!$E$4:$E$15,MATCH(B423,Clientes!$A$4:$A$15,0))</f>
        <v>1</v>
      </c>
      <c r="I423" s="16" t="n">
        <f aca="false">ROUND(F423*G423*H423,0)</f>
        <v>7170</v>
      </c>
    </row>
    <row r="424" customFormat="false" ht="15" hidden="false" customHeight="false" outlineLevel="0" collapsed="false">
      <c r="A424" s="14" t="n">
        <v>45809</v>
      </c>
      <c r="B424" s="6" t="s">
        <v>33</v>
      </c>
      <c r="C424" s="6" t="s">
        <v>67</v>
      </c>
      <c r="D424" s="0" t="str">
        <f aca="false">INDEX(Clientes!$B$4:$B$15,MATCH(B424,Clientes!$A$4:$A$15,0))</f>
        <v>Transportes Rápidos del Valle</v>
      </c>
      <c r="E424" s="0" t="str">
        <f aca="false">INDEX(Catalogo_Servicios!$C$4:$C$24,MATCH(C424,Catalogo_Servicios!$A$4:$A$24,0))</f>
        <v>Cálculo de planillas y cargas sociales (CCSS/INS)</v>
      </c>
      <c r="F424" s="15" t="n">
        <v>5.5</v>
      </c>
      <c r="G424" s="16" t="n">
        <f aca="false">Parametros!$B$4</f>
        <v>28681</v>
      </c>
      <c r="H424" s="15" t="n">
        <f aca="false">INDEX(Clientes!$E$4:$E$15,MATCH(B424,Clientes!$A$4:$A$15,0))</f>
        <v>1</v>
      </c>
      <c r="I424" s="16" t="n">
        <f aca="false">ROUND(F424*G424*H424,0)</f>
        <v>157746</v>
      </c>
    </row>
    <row r="425" customFormat="false" ht="15" hidden="false" customHeight="false" outlineLevel="0" collapsed="false">
      <c r="A425" s="14" t="n">
        <v>45809</v>
      </c>
      <c r="B425" s="6" t="s">
        <v>34</v>
      </c>
      <c r="C425" s="6" t="s">
        <v>68</v>
      </c>
      <c r="D425" s="0" t="str">
        <f aca="false">INDEX(Clientes!$B$4:$B$15,MATCH(B425,Clientes!$A$4:$A$15,0))</f>
        <v>Boutique Luna Nueva</v>
      </c>
      <c r="E425" s="0" t="str">
        <f aca="false">INDEX(Catalogo_Servicios!$C$4:$C$24,MATCH(C425,Catalogo_Servicios!$A$4:$A$24,0))</f>
        <v>Asesoría contable, financiera y tributaria</v>
      </c>
      <c r="F425" s="15" t="n">
        <v>1</v>
      </c>
      <c r="G425" s="16" t="n">
        <f aca="false">Parametros!$B$4</f>
        <v>28681</v>
      </c>
      <c r="H425" s="15" t="n">
        <f aca="false">INDEX(Clientes!$E$4:$E$15,MATCH(B425,Clientes!$A$4:$A$15,0))</f>
        <v>1.15</v>
      </c>
      <c r="I425" s="16" t="n">
        <f aca="false">ROUND(F425*G425*H425,0)</f>
        <v>32983</v>
      </c>
    </row>
    <row r="426" customFormat="false" ht="15" hidden="false" customHeight="false" outlineLevel="0" collapsed="false">
      <c r="A426" s="14" t="n">
        <v>45809</v>
      </c>
      <c r="B426" s="6" t="s">
        <v>35</v>
      </c>
      <c r="C426" s="6" t="s">
        <v>65</v>
      </c>
      <c r="D426" s="0" t="str">
        <f aca="false">INDEX(Clientes!$B$4:$B$15,MATCH(B426,Clientes!$A$4:$A$15,0))</f>
        <v>Taller Mecánico Hermanos Mora</v>
      </c>
      <c r="E426" s="0" t="str">
        <f aca="false">INDEX(Catalogo_Servicios!$C$4:$C$24,MATCH(C426,Catalogo_Servicios!$A$4:$A$24,0))</f>
        <v>Declaración mensual de IVA (D-104)</v>
      </c>
      <c r="F426" s="15" t="n">
        <v>0.75</v>
      </c>
      <c r="G426" s="16" t="n">
        <f aca="false">Parametros!$B$4</f>
        <v>28681</v>
      </c>
      <c r="H426" s="15" t="n">
        <f aca="false">INDEX(Clientes!$E$4:$E$15,MATCH(B426,Clientes!$A$4:$A$15,0))</f>
        <v>1</v>
      </c>
      <c r="I426" s="16" t="n">
        <f aca="false">ROUND(F426*G426*H426,0)</f>
        <v>21511</v>
      </c>
    </row>
    <row r="427" customFormat="false" ht="15" hidden="false" customHeight="false" outlineLevel="0" collapsed="false">
      <c r="A427" s="14" t="n">
        <v>45809</v>
      </c>
      <c r="B427" s="6" t="s">
        <v>36</v>
      </c>
      <c r="C427" s="6" t="s">
        <v>65</v>
      </c>
      <c r="D427" s="0" t="str">
        <f aca="false">INDEX(Clientes!$B$4:$B$15,MATCH(B427,Clientes!$A$4:$A$15,0))</f>
        <v>Agroservicios Cartago</v>
      </c>
      <c r="E427" s="0" t="str">
        <f aca="false">INDEX(Catalogo_Servicios!$C$4:$C$24,MATCH(C427,Catalogo_Servicios!$A$4:$A$24,0))</f>
        <v>Declaración mensual de IVA (D-104)</v>
      </c>
      <c r="F427" s="15" t="n">
        <v>0.75</v>
      </c>
      <c r="G427" s="16" t="n">
        <f aca="false">Parametros!$B$4</f>
        <v>28681</v>
      </c>
      <c r="H427" s="15" t="n">
        <f aca="false">INDEX(Clientes!$E$4:$E$15,MATCH(B427,Clientes!$A$4:$A$15,0))</f>
        <v>1</v>
      </c>
      <c r="I427" s="16" t="n">
        <f aca="false">ROUND(F427*G427*H427,0)</f>
        <v>21511</v>
      </c>
    </row>
    <row r="428" customFormat="false" ht="15" hidden="false" customHeight="false" outlineLevel="0" collapsed="false">
      <c r="A428" s="14" t="n">
        <v>45809</v>
      </c>
      <c r="B428" s="6" t="s">
        <v>36</v>
      </c>
      <c r="C428" s="6" t="s">
        <v>66</v>
      </c>
      <c r="D428" s="0" t="str">
        <f aca="false">INDEX(Clientes!$B$4:$B$15,MATCH(B428,Clientes!$A$4:$A$15,0))</f>
        <v>Agroservicios Cartago</v>
      </c>
      <c r="E428" s="0" t="str">
        <f aca="false">INDEX(Catalogo_Servicios!$C$4:$C$24,MATCH(C428,Catalogo_Servicios!$A$4:$A$24,0))</f>
        <v>Declaración mensual de retenciones (D-103)</v>
      </c>
      <c r="F428" s="15" t="n">
        <v>0.25</v>
      </c>
      <c r="G428" s="16" t="n">
        <f aca="false">Parametros!$B$4</f>
        <v>28681</v>
      </c>
      <c r="H428" s="15" t="n">
        <f aca="false">INDEX(Clientes!$E$4:$E$15,MATCH(B428,Clientes!$A$4:$A$15,0))</f>
        <v>1</v>
      </c>
      <c r="I428" s="16" t="n">
        <f aca="false">ROUND(F428*G428*H428,0)</f>
        <v>7170</v>
      </c>
    </row>
    <row r="429" customFormat="false" ht="15" hidden="false" customHeight="false" outlineLevel="0" collapsed="false">
      <c r="A429" s="14" t="n">
        <v>45809</v>
      </c>
      <c r="B429" s="6" t="s">
        <v>38</v>
      </c>
      <c r="C429" s="6" t="s">
        <v>65</v>
      </c>
      <c r="D429" s="0" t="str">
        <f aca="false">INDEX(Clientes!$B$4:$B$15,MATCH(B429,Clientes!$A$4:$A$15,0))</f>
        <v>Panadería La Espiga</v>
      </c>
      <c r="E429" s="0" t="str">
        <f aca="false">INDEX(Catalogo_Servicios!$C$4:$C$24,MATCH(C429,Catalogo_Servicios!$A$4:$A$24,0))</f>
        <v>Declaración mensual de IVA (D-104)</v>
      </c>
      <c r="F429" s="15" t="n">
        <v>0.75</v>
      </c>
      <c r="G429" s="16" t="n">
        <f aca="false">Parametros!$B$4</f>
        <v>28681</v>
      </c>
      <c r="H429" s="15" t="n">
        <f aca="false">INDEX(Clientes!$E$4:$E$15,MATCH(B429,Clientes!$A$4:$A$15,0))</f>
        <v>1</v>
      </c>
      <c r="I429" s="16" t="n">
        <f aca="false">ROUND(F429*G429*H429,0)</f>
        <v>21511</v>
      </c>
    </row>
    <row r="430" customFormat="false" ht="15" hidden="false" customHeight="false" outlineLevel="0" collapsed="false">
      <c r="A430" s="14" t="n">
        <v>45809</v>
      </c>
      <c r="B430" s="6" t="s">
        <v>38</v>
      </c>
      <c r="C430" s="6" t="s">
        <v>67</v>
      </c>
      <c r="D430" s="0" t="str">
        <f aca="false">INDEX(Clientes!$B$4:$B$15,MATCH(B430,Clientes!$A$4:$A$15,0))</f>
        <v>Panadería La Espiga</v>
      </c>
      <c r="E430" s="0" t="str">
        <f aca="false">INDEX(Catalogo_Servicios!$C$4:$C$24,MATCH(C430,Catalogo_Servicios!$A$4:$A$24,0))</f>
        <v>Cálculo de planillas y cargas sociales (CCSS/INS)</v>
      </c>
      <c r="F430" s="15" t="n">
        <v>6.5</v>
      </c>
      <c r="G430" s="16" t="n">
        <f aca="false">Parametros!$B$4</f>
        <v>28681</v>
      </c>
      <c r="H430" s="15" t="n">
        <f aca="false">INDEX(Clientes!$E$4:$E$15,MATCH(B430,Clientes!$A$4:$A$15,0))</f>
        <v>1</v>
      </c>
      <c r="I430" s="16" t="n">
        <f aca="false">ROUND(F430*G430*H430,0)</f>
        <v>186427</v>
      </c>
    </row>
    <row r="431" customFormat="false" ht="15" hidden="false" customHeight="false" outlineLevel="0" collapsed="false">
      <c r="A431" s="14" t="n">
        <v>45839</v>
      </c>
      <c r="B431" s="6" t="s">
        <v>29</v>
      </c>
      <c r="C431" s="6" t="s">
        <v>64</v>
      </c>
      <c r="D431" s="0" t="str">
        <f aca="false">INDEX(Clientes!$B$4:$B$15,MATCH(B431,Clientes!$A$4:$A$15,0))</f>
        <v>Distribuidora Los Andes S.A.</v>
      </c>
      <c r="E431" s="0" t="str">
        <f aca="false">INDEX(Catalogo_Servicios!$C$4:$C$24,MATCH(C431,Catalogo_Servicios!$A$4:$A$24,0))</f>
        <v>Estados financieros mensuales</v>
      </c>
      <c r="F431" s="15" t="n">
        <v>3</v>
      </c>
      <c r="G431" s="16" t="n">
        <f aca="false">Parametros!$B$4</f>
        <v>28681</v>
      </c>
      <c r="H431" s="15" t="n">
        <f aca="false">INDEX(Clientes!$E$4:$E$15,MATCH(B431,Clientes!$A$4:$A$15,0))</f>
        <v>1</v>
      </c>
      <c r="I431" s="16" t="n">
        <f aca="false">ROUND(F431*G431*H431,0)</f>
        <v>86043</v>
      </c>
    </row>
    <row r="432" customFormat="false" ht="15" hidden="false" customHeight="false" outlineLevel="0" collapsed="false">
      <c r="A432" s="14" t="n">
        <v>45839</v>
      </c>
      <c r="B432" s="6" t="s">
        <v>29</v>
      </c>
      <c r="C432" s="6" t="s">
        <v>65</v>
      </c>
      <c r="D432" s="0" t="str">
        <f aca="false">INDEX(Clientes!$B$4:$B$15,MATCH(B432,Clientes!$A$4:$A$15,0))</f>
        <v>Distribuidora Los Andes S.A.</v>
      </c>
      <c r="E432" s="0" t="str">
        <f aca="false">INDEX(Catalogo_Servicios!$C$4:$C$24,MATCH(C432,Catalogo_Servicios!$A$4:$A$24,0))</f>
        <v>Declaración mensual de IVA (D-104)</v>
      </c>
      <c r="F432" s="15" t="n">
        <v>0.75</v>
      </c>
      <c r="G432" s="16" t="n">
        <f aca="false">Parametros!$B$4</f>
        <v>28681</v>
      </c>
      <c r="H432" s="15" t="n">
        <f aca="false">INDEX(Clientes!$E$4:$E$15,MATCH(B432,Clientes!$A$4:$A$15,0))</f>
        <v>1</v>
      </c>
      <c r="I432" s="16" t="n">
        <f aca="false">ROUND(F432*G432*H432,0)</f>
        <v>21511</v>
      </c>
    </row>
    <row r="433" customFormat="false" ht="15" hidden="false" customHeight="false" outlineLevel="0" collapsed="false">
      <c r="A433" s="14" t="n">
        <v>45839</v>
      </c>
      <c r="B433" s="6" t="s">
        <v>29</v>
      </c>
      <c r="C433" s="6" t="s">
        <v>66</v>
      </c>
      <c r="D433" s="0" t="str">
        <f aca="false">INDEX(Clientes!$B$4:$B$15,MATCH(B433,Clientes!$A$4:$A$15,0))</f>
        <v>Distribuidora Los Andes S.A.</v>
      </c>
      <c r="E433" s="0" t="str">
        <f aca="false">INDEX(Catalogo_Servicios!$C$4:$C$24,MATCH(C433,Catalogo_Servicios!$A$4:$A$24,0))</f>
        <v>Declaración mensual de retenciones (D-103)</v>
      </c>
      <c r="F433" s="15" t="n">
        <v>0.25</v>
      </c>
      <c r="G433" s="16" t="n">
        <f aca="false">Parametros!$B$4</f>
        <v>28681</v>
      </c>
      <c r="H433" s="15" t="n">
        <f aca="false">INDEX(Clientes!$E$4:$E$15,MATCH(B433,Clientes!$A$4:$A$15,0))</f>
        <v>1</v>
      </c>
      <c r="I433" s="16" t="n">
        <f aca="false">ROUND(F433*G433*H433,0)</f>
        <v>7170</v>
      </c>
    </row>
    <row r="434" customFormat="false" ht="15" hidden="false" customHeight="false" outlineLevel="0" collapsed="false">
      <c r="A434" s="14" t="n">
        <v>45839</v>
      </c>
      <c r="B434" s="6" t="s">
        <v>29</v>
      </c>
      <c r="C434" s="6" t="s">
        <v>67</v>
      </c>
      <c r="D434" s="0" t="str">
        <f aca="false">INDEX(Clientes!$B$4:$B$15,MATCH(B434,Clientes!$A$4:$A$15,0))</f>
        <v>Distribuidora Los Andes S.A.</v>
      </c>
      <c r="E434" s="0" t="str">
        <f aca="false">INDEX(Catalogo_Servicios!$C$4:$C$24,MATCH(C434,Catalogo_Servicios!$A$4:$A$24,0))</f>
        <v>Cálculo de planillas y cargas sociales (CCSS/INS)</v>
      </c>
      <c r="F434" s="15" t="n">
        <v>21.5</v>
      </c>
      <c r="G434" s="16" t="n">
        <f aca="false">Parametros!$B$4</f>
        <v>28681</v>
      </c>
      <c r="H434" s="15" t="n">
        <f aca="false">INDEX(Clientes!$E$4:$E$15,MATCH(B434,Clientes!$A$4:$A$15,0))</f>
        <v>1</v>
      </c>
      <c r="I434" s="16" t="n">
        <f aca="false">ROUND(F434*G434*H434,0)</f>
        <v>616642</v>
      </c>
    </row>
    <row r="435" customFormat="false" ht="15" hidden="false" customHeight="false" outlineLevel="0" collapsed="false">
      <c r="A435" s="14" t="n">
        <v>45839</v>
      </c>
      <c r="B435" s="6" t="s">
        <v>30</v>
      </c>
      <c r="C435" s="6" t="s">
        <v>64</v>
      </c>
      <c r="D435" s="0" t="str">
        <f aca="false">INDEX(Clientes!$B$4:$B$15,MATCH(B435,Clientes!$A$4:$A$15,0))</f>
        <v>Ferretería El Tornillo</v>
      </c>
      <c r="E435" s="0" t="str">
        <f aca="false">INDEX(Catalogo_Servicios!$C$4:$C$24,MATCH(C435,Catalogo_Servicios!$A$4:$A$24,0))</f>
        <v>Estados financieros mensuales</v>
      </c>
      <c r="F435" s="15" t="n">
        <v>3.5</v>
      </c>
      <c r="G435" s="16" t="n">
        <f aca="false">Parametros!$B$4</f>
        <v>28681</v>
      </c>
      <c r="H435" s="15" t="n">
        <f aca="false">INDEX(Clientes!$E$4:$E$15,MATCH(B435,Clientes!$A$4:$A$15,0))</f>
        <v>1</v>
      </c>
      <c r="I435" s="16" t="n">
        <f aca="false">ROUND(F435*G435*H435,0)</f>
        <v>100384</v>
      </c>
    </row>
    <row r="436" customFormat="false" ht="15" hidden="false" customHeight="false" outlineLevel="0" collapsed="false">
      <c r="A436" s="14" t="n">
        <v>45839</v>
      </c>
      <c r="B436" s="6" t="s">
        <v>30</v>
      </c>
      <c r="C436" s="6" t="s">
        <v>65</v>
      </c>
      <c r="D436" s="0" t="str">
        <f aca="false">INDEX(Clientes!$B$4:$B$15,MATCH(B436,Clientes!$A$4:$A$15,0))</f>
        <v>Ferretería El Tornillo</v>
      </c>
      <c r="E436" s="0" t="str">
        <f aca="false">INDEX(Catalogo_Servicios!$C$4:$C$24,MATCH(C436,Catalogo_Servicios!$A$4:$A$24,0))</f>
        <v>Declaración mensual de IVA (D-104)</v>
      </c>
      <c r="F436" s="15" t="n">
        <v>0.75</v>
      </c>
      <c r="G436" s="16" t="n">
        <f aca="false">Parametros!$B$4</f>
        <v>28681</v>
      </c>
      <c r="H436" s="15" t="n">
        <f aca="false">INDEX(Clientes!$E$4:$E$15,MATCH(B436,Clientes!$A$4:$A$15,0))</f>
        <v>1</v>
      </c>
      <c r="I436" s="16" t="n">
        <f aca="false">ROUND(F436*G436*H436,0)</f>
        <v>21511</v>
      </c>
    </row>
    <row r="437" customFormat="false" ht="15" hidden="false" customHeight="false" outlineLevel="0" collapsed="false">
      <c r="A437" s="14" t="n">
        <v>45839</v>
      </c>
      <c r="B437" s="6" t="s">
        <v>30</v>
      </c>
      <c r="C437" s="6" t="s">
        <v>66</v>
      </c>
      <c r="D437" s="0" t="str">
        <f aca="false">INDEX(Clientes!$B$4:$B$15,MATCH(B437,Clientes!$A$4:$A$15,0))</f>
        <v>Ferretería El Tornillo</v>
      </c>
      <c r="E437" s="0" t="str">
        <f aca="false">INDEX(Catalogo_Servicios!$C$4:$C$24,MATCH(C437,Catalogo_Servicios!$A$4:$A$24,0))</f>
        <v>Declaración mensual de retenciones (D-103)</v>
      </c>
      <c r="F437" s="15" t="n">
        <v>0.25</v>
      </c>
      <c r="G437" s="16" t="n">
        <f aca="false">Parametros!$B$4</f>
        <v>28681</v>
      </c>
      <c r="H437" s="15" t="n">
        <f aca="false">INDEX(Clientes!$E$4:$E$15,MATCH(B437,Clientes!$A$4:$A$15,0))</f>
        <v>1</v>
      </c>
      <c r="I437" s="16" t="n">
        <f aca="false">ROUND(F437*G437*H437,0)</f>
        <v>7170</v>
      </c>
    </row>
    <row r="438" customFormat="false" ht="15" hidden="false" customHeight="false" outlineLevel="0" collapsed="false">
      <c r="A438" s="14" t="n">
        <v>45839</v>
      </c>
      <c r="B438" s="6" t="s">
        <v>31</v>
      </c>
      <c r="C438" s="6" t="s">
        <v>65</v>
      </c>
      <c r="D438" s="0" t="str">
        <f aca="false">INDEX(Clientes!$B$4:$B$15,MATCH(B438,Clientes!$A$4:$A$15,0))</f>
        <v>Clínica Dental Sonrisa</v>
      </c>
      <c r="E438" s="0" t="str">
        <f aca="false">INDEX(Catalogo_Servicios!$C$4:$C$24,MATCH(C438,Catalogo_Servicios!$A$4:$A$24,0))</f>
        <v>Declaración mensual de IVA (D-104)</v>
      </c>
      <c r="F438" s="15" t="n">
        <v>0.75</v>
      </c>
      <c r="G438" s="16" t="n">
        <f aca="false">Parametros!$B$4</f>
        <v>28681</v>
      </c>
      <c r="H438" s="15" t="n">
        <f aca="false">INDEX(Clientes!$E$4:$E$15,MATCH(B438,Clientes!$A$4:$A$15,0))</f>
        <v>1.1</v>
      </c>
      <c r="I438" s="16" t="n">
        <f aca="false">ROUND(F438*G438*H438,0)</f>
        <v>23662</v>
      </c>
    </row>
    <row r="439" customFormat="false" ht="15" hidden="false" customHeight="false" outlineLevel="0" collapsed="false">
      <c r="A439" s="14" t="n">
        <v>45839</v>
      </c>
      <c r="B439" s="6" t="s">
        <v>32</v>
      </c>
      <c r="C439" s="6" t="s">
        <v>65</v>
      </c>
      <c r="D439" s="0" t="str">
        <f aca="false">INDEX(Clientes!$B$4:$B$15,MATCH(B439,Clientes!$A$4:$A$15,0))</f>
        <v>Soda y Restaurante Doña Lela</v>
      </c>
      <c r="E439" s="0" t="str">
        <f aca="false">INDEX(Catalogo_Servicios!$C$4:$C$24,MATCH(C439,Catalogo_Servicios!$A$4:$A$24,0))</f>
        <v>Declaración mensual de IVA (D-104)</v>
      </c>
      <c r="F439" s="15" t="n">
        <v>1</v>
      </c>
      <c r="G439" s="16" t="n">
        <f aca="false">Parametros!$B$4</f>
        <v>28681</v>
      </c>
      <c r="H439" s="15" t="n">
        <f aca="false">INDEX(Clientes!$E$4:$E$15,MATCH(B439,Clientes!$A$4:$A$15,0))</f>
        <v>1</v>
      </c>
      <c r="I439" s="16" t="n">
        <f aca="false">ROUND(F439*G439*H439,0)</f>
        <v>28681</v>
      </c>
    </row>
    <row r="440" customFormat="false" ht="15" hidden="false" customHeight="false" outlineLevel="0" collapsed="false">
      <c r="A440" s="14" t="n">
        <v>45839</v>
      </c>
      <c r="B440" s="6" t="s">
        <v>33</v>
      </c>
      <c r="C440" s="6" t="s">
        <v>65</v>
      </c>
      <c r="D440" s="0" t="str">
        <f aca="false">INDEX(Clientes!$B$4:$B$15,MATCH(B440,Clientes!$A$4:$A$15,0))</f>
        <v>Transportes Rápidos del Valle</v>
      </c>
      <c r="E440" s="0" t="str">
        <f aca="false">INDEX(Catalogo_Servicios!$C$4:$C$24,MATCH(C440,Catalogo_Servicios!$A$4:$A$24,0))</f>
        <v>Declaración mensual de IVA (D-104)</v>
      </c>
      <c r="F440" s="15" t="n">
        <v>0.75</v>
      </c>
      <c r="G440" s="16" t="n">
        <f aca="false">Parametros!$B$4</f>
        <v>28681</v>
      </c>
      <c r="H440" s="15" t="n">
        <f aca="false">INDEX(Clientes!$E$4:$E$15,MATCH(B440,Clientes!$A$4:$A$15,0))</f>
        <v>1</v>
      </c>
      <c r="I440" s="16" t="n">
        <f aca="false">ROUND(F440*G440*H440,0)</f>
        <v>21511</v>
      </c>
    </row>
    <row r="441" customFormat="false" ht="15" hidden="false" customHeight="false" outlineLevel="0" collapsed="false">
      <c r="A441" s="14" t="n">
        <v>45839</v>
      </c>
      <c r="B441" s="6" t="s">
        <v>33</v>
      </c>
      <c r="C441" s="6" t="s">
        <v>66</v>
      </c>
      <c r="D441" s="0" t="str">
        <f aca="false">INDEX(Clientes!$B$4:$B$15,MATCH(B441,Clientes!$A$4:$A$15,0))</f>
        <v>Transportes Rápidos del Valle</v>
      </c>
      <c r="E441" s="0" t="str">
        <f aca="false">INDEX(Catalogo_Servicios!$C$4:$C$24,MATCH(C441,Catalogo_Servicios!$A$4:$A$24,0))</f>
        <v>Declaración mensual de retenciones (D-103)</v>
      </c>
      <c r="F441" s="15" t="n">
        <v>0.25</v>
      </c>
      <c r="G441" s="16" t="n">
        <f aca="false">Parametros!$B$4</f>
        <v>28681</v>
      </c>
      <c r="H441" s="15" t="n">
        <f aca="false">INDEX(Clientes!$E$4:$E$15,MATCH(B441,Clientes!$A$4:$A$15,0))</f>
        <v>1</v>
      </c>
      <c r="I441" s="16" t="n">
        <f aca="false">ROUND(F441*G441*H441,0)</f>
        <v>7170</v>
      </c>
    </row>
    <row r="442" customFormat="false" ht="15" hidden="false" customHeight="false" outlineLevel="0" collapsed="false">
      <c r="A442" s="14" t="n">
        <v>45839</v>
      </c>
      <c r="B442" s="6" t="s">
        <v>33</v>
      </c>
      <c r="C442" s="6" t="s">
        <v>67</v>
      </c>
      <c r="D442" s="0" t="str">
        <f aca="false">INDEX(Clientes!$B$4:$B$15,MATCH(B442,Clientes!$A$4:$A$15,0))</f>
        <v>Transportes Rápidos del Valle</v>
      </c>
      <c r="E442" s="0" t="str">
        <f aca="false">INDEX(Catalogo_Servicios!$C$4:$C$24,MATCH(C442,Catalogo_Servicios!$A$4:$A$24,0))</f>
        <v>Cálculo de planillas y cargas sociales (CCSS/INS)</v>
      </c>
      <c r="F442" s="15" t="n">
        <v>6.5</v>
      </c>
      <c r="G442" s="16" t="n">
        <f aca="false">Parametros!$B$4</f>
        <v>28681</v>
      </c>
      <c r="H442" s="15" t="n">
        <f aca="false">INDEX(Clientes!$E$4:$E$15,MATCH(B442,Clientes!$A$4:$A$15,0))</f>
        <v>1</v>
      </c>
      <c r="I442" s="16" t="n">
        <f aca="false">ROUND(F442*G442*H442,0)</f>
        <v>186427</v>
      </c>
    </row>
    <row r="443" customFormat="false" ht="15" hidden="false" customHeight="false" outlineLevel="0" collapsed="false">
      <c r="A443" s="14" t="n">
        <v>45839</v>
      </c>
      <c r="B443" s="6" t="s">
        <v>35</v>
      </c>
      <c r="C443" s="6" t="s">
        <v>65</v>
      </c>
      <c r="D443" s="0" t="str">
        <f aca="false">INDEX(Clientes!$B$4:$B$15,MATCH(B443,Clientes!$A$4:$A$15,0))</f>
        <v>Taller Mecánico Hermanos Mora</v>
      </c>
      <c r="E443" s="0" t="str">
        <f aca="false">INDEX(Catalogo_Servicios!$C$4:$C$24,MATCH(C443,Catalogo_Servicios!$A$4:$A$24,0))</f>
        <v>Declaración mensual de IVA (D-104)</v>
      </c>
      <c r="F443" s="15" t="n">
        <v>0.75</v>
      </c>
      <c r="G443" s="16" t="n">
        <f aca="false">Parametros!$B$4</f>
        <v>28681</v>
      </c>
      <c r="H443" s="15" t="n">
        <f aca="false">INDEX(Clientes!$E$4:$E$15,MATCH(B443,Clientes!$A$4:$A$15,0))</f>
        <v>1</v>
      </c>
      <c r="I443" s="16" t="n">
        <f aca="false">ROUND(F443*G443*H443,0)</f>
        <v>21511</v>
      </c>
    </row>
    <row r="444" customFormat="false" ht="15" hidden="false" customHeight="false" outlineLevel="0" collapsed="false">
      <c r="A444" s="14" t="n">
        <v>45839</v>
      </c>
      <c r="B444" s="6" t="s">
        <v>36</v>
      </c>
      <c r="C444" s="6" t="s">
        <v>65</v>
      </c>
      <c r="D444" s="0" t="str">
        <f aca="false">INDEX(Clientes!$B$4:$B$15,MATCH(B444,Clientes!$A$4:$A$15,0))</f>
        <v>Agroservicios Cartago</v>
      </c>
      <c r="E444" s="0" t="str">
        <f aca="false">INDEX(Catalogo_Servicios!$C$4:$C$24,MATCH(C444,Catalogo_Servicios!$A$4:$A$24,0))</f>
        <v>Declaración mensual de IVA (D-104)</v>
      </c>
      <c r="F444" s="15" t="n">
        <v>0.75</v>
      </c>
      <c r="G444" s="16" t="n">
        <f aca="false">Parametros!$B$4</f>
        <v>28681</v>
      </c>
      <c r="H444" s="15" t="n">
        <f aca="false">INDEX(Clientes!$E$4:$E$15,MATCH(B444,Clientes!$A$4:$A$15,0))</f>
        <v>1</v>
      </c>
      <c r="I444" s="16" t="n">
        <f aca="false">ROUND(F444*G444*H444,0)</f>
        <v>21511</v>
      </c>
    </row>
    <row r="445" customFormat="false" ht="15" hidden="false" customHeight="false" outlineLevel="0" collapsed="false">
      <c r="A445" s="14" t="n">
        <v>45839</v>
      </c>
      <c r="B445" s="6" t="s">
        <v>36</v>
      </c>
      <c r="C445" s="6" t="s">
        <v>66</v>
      </c>
      <c r="D445" s="0" t="str">
        <f aca="false">INDEX(Clientes!$B$4:$B$15,MATCH(B445,Clientes!$A$4:$A$15,0))</f>
        <v>Agroservicios Cartago</v>
      </c>
      <c r="E445" s="0" t="str">
        <f aca="false">INDEX(Catalogo_Servicios!$C$4:$C$24,MATCH(C445,Catalogo_Servicios!$A$4:$A$24,0))</f>
        <v>Declaración mensual de retenciones (D-103)</v>
      </c>
      <c r="F445" s="15" t="n">
        <v>0.25</v>
      </c>
      <c r="G445" s="16" t="n">
        <f aca="false">Parametros!$B$4</f>
        <v>28681</v>
      </c>
      <c r="H445" s="15" t="n">
        <f aca="false">INDEX(Clientes!$E$4:$E$15,MATCH(B445,Clientes!$A$4:$A$15,0))</f>
        <v>1</v>
      </c>
      <c r="I445" s="16" t="n">
        <f aca="false">ROUND(F445*G445*H445,0)</f>
        <v>7170</v>
      </c>
    </row>
    <row r="446" customFormat="false" ht="15" hidden="false" customHeight="false" outlineLevel="0" collapsed="false">
      <c r="A446" s="14" t="n">
        <v>45839</v>
      </c>
      <c r="B446" s="6" t="s">
        <v>38</v>
      </c>
      <c r="C446" s="6" t="s">
        <v>65</v>
      </c>
      <c r="D446" s="0" t="str">
        <f aca="false">INDEX(Clientes!$B$4:$B$15,MATCH(B446,Clientes!$A$4:$A$15,0))</f>
        <v>Panadería La Espiga</v>
      </c>
      <c r="E446" s="0" t="str">
        <f aca="false">INDEX(Catalogo_Servicios!$C$4:$C$24,MATCH(C446,Catalogo_Servicios!$A$4:$A$24,0))</f>
        <v>Declaración mensual de IVA (D-104)</v>
      </c>
      <c r="F446" s="15" t="n">
        <v>0.75</v>
      </c>
      <c r="G446" s="16" t="n">
        <f aca="false">Parametros!$B$4</f>
        <v>28681</v>
      </c>
      <c r="H446" s="15" t="n">
        <f aca="false">INDEX(Clientes!$E$4:$E$15,MATCH(B446,Clientes!$A$4:$A$15,0))</f>
        <v>1</v>
      </c>
      <c r="I446" s="16" t="n">
        <f aca="false">ROUND(F446*G446*H446,0)</f>
        <v>21511</v>
      </c>
    </row>
    <row r="447" customFormat="false" ht="15" hidden="false" customHeight="false" outlineLevel="0" collapsed="false">
      <c r="A447" s="14" t="n">
        <v>45839</v>
      </c>
      <c r="B447" s="6" t="s">
        <v>38</v>
      </c>
      <c r="C447" s="6" t="s">
        <v>67</v>
      </c>
      <c r="D447" s="0" t="str">
        <f aca="false">INDEX(Clientes!$B$4:$B$15,MATCH(B447,Clientes!$A$4:$A$15,0))</f>
        <v>Panadería La Espiga</v>
      </c>
      <c r="E447" s="0" t="str">
        <f aca="false">INDEX(Catalogo_Servicios!$C$4:$C$24,MATCH(C447,Catalogo_Servicios!$A$4:$A$24,0))</f>
        <v>Cálculo de planillas y cargas sociales (CCSS/INS)</v>
      </c>
      <c r="F447" s="15" t="n">
        <v>7</v>
      </c>
      <c r="G447" s="16" t="n">
        <f aca="false">Parametros!$B$4</f>
        <v>28681</v>
      </c>
      <c r="H447" s="15" t="n">
        <f aca="false">INDEX(Clientes!$E$4:$E$15,MATCH(B447,Clientes!$A$4:$A$15,0))</f>
        <v>1</v>
      </c>
      <c r="I447" s="16" t="n">
        <f aca="false">ROUND(F447*G447*H447,0)</f>
        <v>200767</v>
      </c>
    </row>
    <row r="448" customFormat="false" ht="15" hidden="false" customHeight="false" outlineLevel="0" collapsed="false">
      <c r="A448" s="14" t="n">
        <v>45870</v>
      </c>
      <c r="B448" s="6" t="s">
        <v>29</v>
      </c>
      <c r="C448" s="6" t="s">
        <v>64</v>
      </c>
      <c r="D448" s="0" t="str">
        <f aca="false">INDEX(Clientes!$B$4:$B$15,MATCH(B448,Clientes!$A$4:$A$15,0))</f>
        <v>Distribuidora Los Andes S.A.</v>
      </c>
      <c r="E448" s="0" t="str">
        <f aca="false">INDEX(Catalogo_Servicios!$C$4:$C$24,MATCH(C448,Catalogo_Servicios!$A$4:$A$24,0))</f>
        <v>Estados financieros mensuales</v>
      </c>
      <c r="F448" s="15" t="n">
        <v>3</v>
      </c>
      <c r="G448" s="16" t="n">
        <f aca="false">Parametros!$B$4</f>
        <v>28681</v>
      </c>
      <c r="H448" s="15" t="n">
        <f aca="false">INDEX(Clientes!$E$4:$E$15,MATCH(B448,Clientes!$A$4:$A$15,0))</f>
        <v>1</v>
      </c>
      <c r="I448" s="16" t="n">
        <f aca="false">ROUND(F448*G448*H448,0)</f>
        <v>86043</v>
      </c>
    </row>
    <row r="449" customFormat="false" ht="15" hidden="false" customHeight="false" outlineLevel="0" collapsed="false">
      <c r="A449" s="14" t="n">
        <v>45870</v>
      </c>
      <c r="B449" s="6" t="s">
        <v>29</v>
      </c>
      <c r="C449" s="6" t="s">
        <v>65</v>
      </c>
      <c r="D449" s="0" t="str">
        <f aca="false">INDEX(Clientes!$B$4:$B$15,MATCH(B449,Clientes!$A$4:$A$15,0))</f>
        <v>Distribuidora Los Andes S.A.</v>
      </c>
      <c r="E449" s="0" t="str">
        <f aca="false">INDEX(Catalogo_Servicios!$C$4:$C$24,MATCH(C449,Catalogo_Servicios!$A$4:$A$24,0))</f>
        <v>Declaración mensual de IVA (D-104)</v>
      </c>
      <c r="F449" s="15" t="n">
        <v>0.75</v>
      </c>
      <c r="G449" s="16" t="n">
        <f aca="false">Parametros!$B$4</f>
        <v>28681</v>
      </c>
      <c r="H449" s="15" t="n">
        <f aca="false">INDEX(Clientes!$E$4:$E$15,MATCH(B449,Clientes!$A$4:$A$15,0))</f>
        <v>1</v>
      </c>
      <c r="I449" s="16" t="n">
        <f aca="false">ROUND(F449*G449*H449,0)</f>
        <v>21511</v>
      </c>
    </row>
    <row r="450" customFormat="false" ht="15" hidden="false" customHeight="false" outlineLevel="0" collapsed="false">
      <c r="A450" s="14" t="n">
        <v>45870</v>
      </c>
      <c r="B450" s="6" t="s">
        <v>29</v>
      </c>
      <c r="C450" s="6" t="s">
        <v>66</v>
      </c>
      <c r="D450" s="0" t="str">
        <f aca="false">INDEX(Clientes!$B$4:$B$15,MATCH(B450,Clientes!$A$4:$A$15,0))</f>
        <v>Distribuidora Los Andes S.A.</v>
      </c>
      <c r="E450" s="0" t="str">
        <f aca="false">INDEX(Catalogo_Servicios!$C$4:$C$24,MATCH(C450,Catalogo_Servicios!$A$4:$A$24,0))</f>
        <v>Declaración mensual de retenciones (D-103)</v>
      </c>
      <c r="F450" s="15" t="n">
        <v>0.25</v>
      </c>
      <c r="G450" s="16" t="n">
        <f aca="false">Parametros!$B$4</f>
        <v>28681</v>
      </c>
      <c r="H450" s="15" t="n">
        <f aca="false">INDEX(Clientes!$E$4:$E$15,MATCH(B450,Clientes!$A$4:$A$15,0))</f>
        <v>1</v>
      </c>
      <c r="I450" s="16" t="n">
        <f aca="false">ROUND(F450*G450*H450,0)</f>
        <v>7170</v>
      </c>
    </row>
    <row r="451" customFormat="false" ht="15" hidden="false" customHeight="false" outlineLevel="0" collapsed="false">
      <c r="A451" s="14" t="n">
        <v>45870</v>
      </c>
      <c r="B451" s="6" t="s">
        <v>29</v>
      </c>
      <c r="C451" s="6" t="s">
        <v>67</v>
      </c>
      <c r="D451" s="0" t="str">
        <f aca="false">INDEX(Clientes!$B$4:$B$15,MATCH(B451,Clientes!$A$4:$A$15,0))</f>
        <v>Distribuidora Los Andes S.A.</v>
      </c>
      <c r="E451" s="0" t="str">
        <f aca="false">INDEX(Catalogo_Servicios!$C$4:$C$24,MATCH(C451,Catalogo_Servicios!$A$4:$A$24,0))</f>
        <v>Cálculo de planillas y cargas sociales (CCSS/INS)</v>
      </c>
      <c r="F451" s="15" t="n">
        <v>22.5</v>
      </c>
      <c r="G451" s="16" t="n">
        <f aca="false">Parametros!$B$4</f>
        <v>28681</v>
      </c>
      <c r="H451" s="15" t="n">
        <f aca="false">INDEX(Clientes!$E$4:$E$15,MATCH(B451,Clientes!$A$4:$A$15,0))</f>
        <v>1</v>
      </c>
      <c r="I451" s="16" t="n">
        <f aca="false">ROUND(F451*G451*H451,0)</f>
        <v>645323</v>
      </c>
    </row>
    <row r="452" customFormat="false" ht="15" hidden="false" customHeight="false" outlineLevel="0" collapsed="false">
      <c r="A452" s="14" t="n">
        <v>45870</v>
      </c>
      <c r="B452" s="6" t="s">
        <v>30</v>
      </c>
      <c r="C452" s="6" t="s">
        <v>64</v>
      </c>
      <c r="D452" s="0" t="str">
        <f aca="false">INDEX(Clientes!$B$4:$B$15,MATCH(B452,Clientes!$A$4:$A$15,0))</f>
        <v>Ferretería El Tornillo</v>
      </c>
      <c r="E452" s="0" t="str">
        <f aca="false">INDEX(Catalogo_Servicios!$C$4:$C$24,MATCH(C452,Catalogo_Servicios!$A$4:$A$24,0))</f>
        <v>Estados financieros mensuales</v>
      </c>
      <c r="F452" s="15" t="n">
        <v>3.5</v>
      </c>
      <c r="G452" s="16" t="n">
        <f aca="false">Parametros!$B$4</f>
        <v>28681</v>
      </c>
      <c r="H452" s="15" t="n">
        <f aca="false">INDEX(Clientes!$E$4:$E$15,MATCH(B452,Clientes!$A$4:$A$15,0))</f>
        <v>1</v>
      </c>
      <c r="I452" s="16" t="n">
        <f aca="false">ROUND(F452*G452*H452,0)</f>
        <v>100384</v>
      </c>
    </row>
    <row r="453" customFormat="false" ht="15" hidden="false" customHeight="false" outlineLevel="0" collapsed="false">
      <c r="A453" s="14" t="n">
        <v>45870</v>
      </c>
      <c r="B453" s="6" t="s">
        <v>30</v>
      </c>
      <c r="C453" s="6" t="s">
        <v>65</v>
      </c>
      <c r="D453" s="0" t="str">
        <f aca="false">INDEX(Clientes!$B$4:$B$15,MATCH(B453,Clientes!$A$4:$A$15,0))</f>
        <v>Ferretería El Tornillo</v>
      </c>
      <c r="E453" s="0" t="str">
        <f aca="false">INDEX(Catalogo_Servicios!$C$4:$C$24,MATCH(C453,Catalogo_Servicios!$A$4:$A$24,0))</f>
        <v>Declaración mensual de IVA (D-104)</v>
      </c>
      <c r="F453" s="15" t="n">
        <v>0.75</v>
      </c>
      <c r="G453" s="16" t="n">
        <f aca="false">Parametros!$B$4</f>
        <v>28681</v>
      </c>
      <c r="H453" s="15" t="n">
        <f aca="false">INDEX(Clientes!$E$4:$E$15,MATCH(B453,Clientes!$A$4:$A$15,0))</f>
        <v>1</v>
      </c>
      <c r="I453" s="16" t="n">
        <f aca="false">ROUND(F453*G453*H453,0)</f>
        <v>21511</v>
      </c>
    </row>
    <row r="454" customFormat="false" ht="15" hidden="false" customHeight="false" outlineLevel="0" collapsed="false">
      <c r="A454" s="14" t="n">
        <v>45870</v>
      </c>
      <c r="B454" s="6" t="s">
        <v>30</v>
      </c>
      <c r="C454" s="6" t="s">
        <v>66</v>
      </c>
      <c r="D454" s="0" t="str">
        <f aca="false">INDEX(Clientes!$B$4:$B$15,MATCH(B454,Clientes!$A$4:$A$15,0))</f>
        <v>Ferretería El Tornillo</v>
      </c>
      <c r="E454" s="0" t="str">
        <f aca="false">INDEX(Catalogo_Servicios!$C$4:$C$24,MATCH(C454,Catalogo_Servicios!$A$4:$A$24,0))</f>
        <v>Declaración mensual de retenciones (D-103)</v>
      </c>
      <c r="F454" s="15" t="n">
        <v>0.25</v>
      </c>
      <c r="G454" s="16" t="n">
        <f aca="false">Parametros!$B$4</f>
        <v>28681</v>
      </c>
      <c r="H454" s="15" t="n">
        <f aca="false">INDEX(Clientes!$E$4:$E$15,MATCH(B454,Clientes!$A$4:$A$15,0))</f>
        <v>1</v>
      </c>
      <c r="I454" s="16" t="n">
        <f aca="false">ROUND(F454*G454*H454,0)</f>
        <v>7170</v>
      </c>
    </row>
    <row r="455" customFormat="false" ht="15" hidden="false" customHeight="false" outlineLevel="0" collapsed="false">
      <c r="A455" s="14" t="n">
        <v>45870</v>
      </c>
      <c r="B455" s="6" t="s">
        <v>31</v>
      </c>
      <c r="C455" s="6" t="s">
        <v>65</v>
      </c>
      <c r="D455" s="0" t="str">
        <f aca="false">INDEX(Clientes!$B$4:$B$15,MATCH(B455,Clientes!$A$4:$A$15,0))</f>
        <v>Clínica Dental Sonrisa</v>
      </c>
      <c r="E455" s="0" t="str">
        <f aca="false">INDEX(Catalogo_Servicios!$C$4:$C$24,MATCH(C455,Catalogo_Servicios!$A$4:$A$24,0))</f>
        <v>Declaración mensual de IVA (D-104)</v>
      </c>
      <c r="F455" s="15" t="n">
        <v>0.75</v>
      </c>
      <c r="G455" s="16" t="n">
        <f aca="false">Parametros!$B$4</f>
        <v>28681</v>
      </c>
      <c r="H455" s="15" t="n">
        <f aca="false">INDEX(Clientes!$E$4:$E$15,MATCH(B455,Clientes!$A$4:$A$15,0))</f>
        <v>1.1</v>
      </c>
      <c r="I455" s="16" t="n">
        <f aca="false">ROUND(F455*G455*H455,0)</f>
        <v>23662</v>
      </c>
    </row>
    <row r="456" customFormat="false" ht="15" hidden="false" customHeight="false" outlineLevel="0" collapsed="false">
      <c r="A456" s="14" t="n">
        <v>45870</v>
      </c>
      <c r="B456" s="6" t="s">
        <v>32</v>
      </c>
      <c r="C456" s="6" t="s">
        <v>65</v>
      </c>
      <c r="D456" s="0" t="str">
        <f aca="false">INDEX(Clientes!$B$4:$B$15,MATCH(B456,Clientes!$A$4:$A$15,0))</f>
        <v>Soda y Restaurante Doña Lela</v>
      </c>
      <c r="E456" s="0" t="str">
        <f aca="false">INDEX(Catalogo_Servicios!$C$4:$C$24,MATCH(C456,Catalogo_Servicios!$A$4:$A$24,0))</f>
        <v>Declaración mensual de IVA (D-104)</v>
      </c>
      <c r="F456" s="15" t="n">
        <v>0.75</v>
      </c>
      <c r="G456" s="16" t="n">
        <f aca="false">Parametros!$B$4</f>
        <v>28681</v>
      </c>
      <c r="H456" s="15" t="n">
        <f aca="false">INDEX(Clientes!$E$4:$E$15,MATCH(B456,Clientes!$A$4:$A$15,0))</f>
        <v>1</v>
      </c>
      <c r="I456" s="16" t="n">
        <f aca="false">ROUND(F456*G456*H456,0)</f>
        <v>21511</v>
      </c>
    </row>
    <row r="457" customFormat="false" ht="15" hidden="false" customHeight="false" outlineLevel="0" collapsed="false">
      <c r="A457" s="14" t="n">
        <v>45870</v>
      </c>
      <c r="B457" s="6" t="s">
        <v>33</v>
      </c>
      <c r="C457" s="6" t="s">
        <v>65</v>
      </c>
      <c r="D457" s="0" t="str">
        <f aca="false">INDEX(Clientes!$B$4:$B$15,MATCH(B457,Clientes!$A$4:$A$15,0))</f>
        <v>Transportes Rápidos del Valle</v>
      </c>
      <c r="E457" s="0" t="str">
        <f aca="false">INDEX(Catalogo_Servicios!$C$4:$C$24,MATCH(C457,Catalogo_Servicios!$A$4:$A$24,0))</f>
        <v>Declaración mensual de IVA (D-104)</v>
      </c>
      <c r="F457" s="15" t="n">
        <v>0.75</v>
      </c>
      <c r="G457" s="16" t="n">
        <f aca="false">Parametros!$B$4</f>
        <v>28681</v>
      </c>
      <c r="H457" s="15" t="n">
        <f aca="false">INDEX(Clientes!$E$4:$E$15,MATCH(B457,Clientes!$A$4:$A$15,0))</f>
        <v>1</v>
      </c>
      <c r="I457" s="16" t="n">
        <f aca="false">ROUND(F457*G457*H457,0)</f>
        <v>21511</v>
      </c>
    </row>
    <row r="458" customFormat="false" ht="15" hidden="false" customHeight="false" outlineLevel="0" collapsed="false">
      <c r="A458" s="14" t="n">
        <v>45870</v>
      </c>
      <c r="B458" s="6" t="s">
        <v>33</v>
      </c>
      <c r="C458" s="6" t="s">
        <v>66</v>
      </c>
      <c r="D458" s="0" t="str">
        <f aca="false">INDEX(Clientes!$B$4:$B$15,MATCH(B458,Clientes!$A$4:$A$15,0))</f>
        <v>Transportes Rápidos del Valle</v>
      </c>
      <c r="E458" s="0" t="str">
        <f aca="false">INDEX(Catalogo_Servicios!$C$4:$C$24,MATCH(C458,Catalogo_Servicios!$A$4:$A$24,0))</f>
        <v>Declaración mensual de retenciones (D-103)</v>
      </c>
      <c r="F458" s="15" t="n">
        <v>0.25</v>
      </c>
      <c r="G458" s="16" t="n">
        <f aca="false">Parametros!$B$4</f>
        <v>28681</v>
      </c>
      <c r="H458" s="15" t="n">
        <f aca="false">INDEX(Clientes!$E$4:$E$15,MATCH(B458,Clientes!$A$4:$A$15,0))</f>
        <v>1</v>
      </c>
      <c r="I458" s="16" t="n">
        <f aca="false">ROUND(F458*G458*H458,0)</f>
        <v>7170</v>
      </c>
    </row>
    <row r="459" customFormat="false" ht="15" hidden="false" customHeight="false" outlineLevel="0" collapsed="false">
      <c r="A459" s="14" t="n">
        <v>45870</v>
      </c>
      <c r="B459" s="6" t="s">
        <v>33</v>
      </c>
      <c r="C459" s="6" t="s">
        <v>67</v>
      </c>
      <c r="D459" s="0" t="str">
        <f aca="false">INDEX(Clientes!$B$4:$B$15,MATCH(B459,Clientes!$A$4:$A$15,0))</f>
        <v>Transportes Rápidos del Valle</v>
      </c>
      <c r="E459" s="0" t="str">
        <f aca="false">INDEX(Catalogo_Servicios!$C$4:$C$24,MATCH(C459,Catalogo_Servicios!$A$4:$A$24,0))</f>
        <v>Cálculo de planillas y cargas sociales (CCSS/INS)</v>
      </c>
      <c r="F459" s="15" t="n">
        <v>6</v>
      </c>
      <c r="G459" s="16" t="n">
        <f aca="false">Parametros!$B$4</f>
        <v>28681</v>
      </c>
      <c r="H459" s="15" t="n">
        <f aca="false">INDEX(Clientes!$E$4:$E$15,MATCH(B459,Clientes!$A$4:$A$15,0))</f>
        <v>1</v>
      </c>
      <c r="I459" s="16" t="n">
        <f aca="false">ROUND(F459*G459*H459,0)</f>
        <v>172086</v>
      </c>
    </row>
    <row r="460" customFormat="false" ht="15" hidden="false" customHeight="false" outlineLevel="0" collapsed="false">
      <c r="A460" s="14" t="n">
        <v>45870</v>
      </c>
      <c r="B460" s="6" t="s">
        <v>34</v>
      </c>
      <c r="C460" s="6" t="s">
        <v>73</v>
      </c>
      <c r="D460" s="0" t="str">
        <f aca="false">INDEX(Clientes!$B$4:$B$15,MATCH(B460,Clientes!$A$4:$A$15,0))</f>
        <v>Boutique Luna Nueva</v>
      </c>
      <c r="E460" s="0" t="str">
        <f aca="false">INDEX(Catalogo_Servicios!$C$4:$C$24,MATCH(C460,Catalogo_Servicios!$A$4:$A$24,0))</f>
        <v>Otros trabajos profesionales no contemplados</v>
      </c>
      <c r="F460" s="15" t="n">
        <v>3</v>
      </c>
      <c r="G460" s="16" t="n">
        <f aca="false">Parametros!$B$4</f>
        <v>28681</v>
      </c>
      <c r="H460" s="15" t="n">
        <f aca="false">INDEX(Clientes!$E$4:$E$15,MATCH(B460,Clientes!$A$4:$A$15,0))</f>
        <v>1.15</v>
      </c>
      <c r="I460" s="16" t="n">
        <f aca="false">ROUND(F460*G460*H460,0)</f>
        <v>98949</v>
      </c>
    </row>
    <row r="461" customFormat="false" ht="15" hidden="false" customHeight="false" outlineLevel="0" collapsed="false">
      <c r="A461" s="14" t="n">
        <v>45870</v>
      </c>
      <c r="B461" s="6" t="s">
        <v>35</v>
      </c>
      <c r="C461" s="6" t="s">
        <v>68</v>
      </c>
      <c r="D461" s="0" t="str">
        <f aca="false">INDEX(Clientes!$B$4:$B$15,MATCH(B461,Clientes!$A$4:$A$15,0))</f>
        <v>Taller Mecánico Hermanos Mora</v>
      </c>
      <c r="E461" s="0" t="str">
        <f aca="false">INDEX(Catalogo_Servicios!$C$4:$C$24,MATCH(C461,Catalogo_Servicios!$A$4:$A$24,0))</f>
        <v>Asesoría contable, financiera y tributaria</v>
      </c>
      <c r="F461" s="15" t="n">
        <v>1</v>
      </c>
      <c r="G461" s="16" t="n">
        <f aca="false">Parametros!$B$4</f>
        <v>28681</v>
      </c>
      <c r="H461" s="15" t="n">
        <f aca="false">INDEX(Clientes!$E$4:$E$15,MATCH(B461,Clientes!$A$4:$A$15,0))</f>
        <v>1</v>
      </c>
      <c r="I461" s="16" t="n">
        <f aca="false">ROUND(F461*G461*H461,0)</f>
        <v>28681</v>
      </c>
    </row>
    <row r="462" customFormat="false" ht="15" hidden="false" customHeight="false" outlineLevel="0" collapsed="false">
      <c r="A462" s="14" t="n">
        <v>45870</v>
      </c>
      <c r="B462" s="6" t="s">
        <v>35</v>
      </c>
      <c r="C462" s="6" t="s">
        <v>65</v>
      </c>
      <c r="D462" s="0" t="str">
        <f aca="false">INDEX(Clientes!$B$4:$B$15,MATCH(B462,Clientes!$A$4:$A$15,0))</f>
        <v>Taller Mecánico Hermanos Mora</v>
      </c>
      <c r="E462" s="0" t="str">
        <f aca="false">INDEX(Catalogo_Servicios!$C$4:$C$24,MATCH(C462,Catalogo_Servicios!$A$4:$A$24,0))</f>
        <v>Declaración mensual de IVA (D-104)</v>
      </c>
      <c r="F462" s="15" t="n">
        <v>1</v>
      </c>
      <c r="G462" s="16" t="n">
        <f aca="false">Parametros!$B$4</f>
        <v>28681</v>
      </c>
      <c r="H462" s="15" t="n">
        <f aca="false">INDEX(Clientes!$E$4:$E$15,MATCH(B462,Clientes!$A$4:$A$15,0))</f>
        <v>1</v>
      </c>
      <c r="I462" s="16" t="n">
        <f aca="false">ROUND(F462*G462*H462,0)</f>
        <v>28681</v>
      </c>
    </row>
    <row r="463" customFormat="false" ht="15" hidden="false" customHeight="false" outlineLevel="0" collapsed="false">
      <c r="A463" s="14" t="n">
        <v>45870</v>
      </c>
      <c r="B463" s="6" t="s">
        <v>36</v>
      </c>
      <c r="C463" s="6" t="s">
        <v>65</v>
      </c>
      <c r="D463" s="0" t="str">
        <f aca="false">INDEX(Clientes!$B$4:$B$15,MATCH(B463,Clientes!$A$4:$A$15,0))</f>
        <v>Agroservicios Cartago</v>
      </c>
      <c r="E463" s="0" t="str">
        <f aca="false">INDEX(Catalogo_Servicios!$C$4:$C$24,MATCH(C463,Catalogo_Servicios!$A$4:$A$24,0))</f>
        <v>Declaración mensual de IVA (D-104)</v>
      </c>
      <c r="F463" s="15" t="n">
        <v>0.75</v>
      </c>
      <c r="G463" s="16" t="n">
        <f aca="false">Parametros!$B$4</f>
        <v>28681</v>
      </c>
      <c r="H463" s="15" t="n">
        <f aca="false">INDEX(Clientes!$E$4:$E$15,MATCH(B463,Clientes!$A$4:$A$15,0))</f>
        <v>1</v>
      </c>
      <c r="I463" s="16" t="n">
        <f aca="false">ROUND(F463*G463*H463,0)</f>
        <v>21511</v>
      </c>
    </row>
    <row r="464" customFormat="false" ht="15" hidden="false" customHeight="false" outlineLevel="0" collapsed="false">
      <c r="A464" s="14" t="n">
        <v>45870</v>
      </c>
      <c r="B464" s="6" t="s">
        <v>36</v>
      </c>
      <c r="C464" s="6" t="s">
        <v>66</v>
      </c>
      <c r="D464" s="0" t="str">
        <f aca="false">INDEX(Clientes!$B$4:$B$15,MATCH(B464,Clientes!$A$4:$A$15,0))</f>
        <v>Agroservicios Cartago</v>
      </c>
      <c r="E464" s="0" t="str">
        <f aca="false">INDEX(Catalogo_Servicios!$C$4:$C$24,MATCH(C464,Catalogo_Servicios!$A$4:$A$24,0))</f>
        <v>Declaración mensual de retenciones (D-103)</v>
      </c>
      <c r="F464" s="15" t="n">
        <v>0.25</v>
      </c>
      <c r="G464" s="16" t="n">
        <f aca="false">Parametros!$B$4</f>
        <v>28681</v>
      </c>
      <c r="H464" s="15" t="n">
        <f aca="false">INDEX(Clientes!$E$4:$E$15,MATCH(B464,Clientes!$A$4:$A$15,0))</f>
        <v>1</v>
      </c>
      <c r="I464" s="16" t="n">
        <f aca="false">ROUND(F464*G464*H464,0)</f>
        <v>7170</v>
      </c>
    </row>
    <row r="465" customFormat="false" ht="15" hidden="false" customHeight="false" outlineLevel="0" collapsed="false">
      <c r="A465" s="14" t="n">
        <v>45870</v>
      </c>
      <c r="B465" s="6" t="s">
        <v>38</v>
      </c>
      <c r="C465" s="6" t="s">
        <v>65</v>
      </c>
      <c r="D465" s="0" t="str">
        <f aca="false">INDEX(Clientes!$B$4:$B$15,MATCH(B465,Clientes!$A$4:$A$15,0))</f>
        <v>Panadería La Espiga</v>
      </c>
      <c r="E465" s="0" t="str">
        <f aca="false">INDEX(Catalogo_Servicios!$C$4:$C$24,MATCH(C465,Catalogo_Servicios!$A$4:$A$24,0))</f>
        <v>Declaración mensual de IVA (D-104)</v>
      </c>
      <c r="F465" s="15" t="n">
        <v>0.75</v>
      </c>
      <c r="G465" s="16" t="n">
        <f aca="false">Parametros!$B$4</f>
        <v>28681</v>
      </c>
      <c r="H465" s="15" t="n">
        <f aca="false">INDEX(Clientes!$E$4:$E$15,MATCH(B465,Clientes!$A$4:$A$15,0))</f>
        <v>1</v>
      </c>
      <c r="I465" s="16" t="n">
        <f aca="false">ROUND(F465*G465*H465,0)</f>
        <v>21511</v>
      </c>
    </row>
    <row r="466" customFormat="false" ht="15" hidden="false" customHeight="false" outlineLevel="0" collapsed="false">
      <c r="A466" s="14" t="n">
        <v>45870</v>
      </c>
      <c r="B466" s="6" t="s">
        <v>38</v>
      </c>
      <c r="C466" s="6" t="s">
        <v>67</v>
      </c>
      <c r="D466" s="0" t="str">
        <f aca="false">INDEX(Clientes!$B$4:$B$15,MATCH(B466,Clientes!$A$4:$A$15,0))</f>
        <v>Panadería La Espiga</v>
      </c>
      <c r="E466" s="0" t="str">
        <f aca="false">INDEX(Catalogo_Servicios!$C$4:$C$24,MATCH(C466,Catalogo_Servicios!$A$4:$A$24,0))</f>
        <v>Cálculo de planillas y cargas sociales (CCSS/INS)</v>
      </c>
      <c r="F466" s="15" t="n">
        <v>7</v>
      </c>
      <c r="G466" s="16" t="n">
        <f aca="false">Parametros!$B$4</f>
        <v>28681</v>
      </c>
      <c r="H466" s="15" t="n">
        <f aca="false">INDEX(Clientes!$E$4:$E$15,MATCH(B466,Clientes!$A$4:$A$15,0))</f>
        <v>1</v>
      </c>
      <c r="I466" s="16" t="n">
        <f aca="false">ROUND(F466*G466*H466,0)</f>
        <v>200767</v>
      </c>
    </row>
    <row r="467" customFormat="false" ht="15" hidden="false" customHeight="false" outlineLevel="0" collapsed="false">
      <c r="A467" s="14" t="n">
        <v>45901</v>
      </c>
      <c r="B467" s="6" t="s">
        <v>29</v>
      </c>
      <c r="C467" s="6" t="s">
        <v>64</v>
      </c>
      <c r="D467" s="0" t="str">
        <f aca="false">INDEX(Clientes!$B$4:$B$15,MATCH(B467,Clientes!$A$4:$A$15,0))</f>
        <v>Distribuidora Los Andes S.A.</v>
      </c>
      <c r="E467" s="0" t="str">
        <f aca="false">INDEX(Catalogo_Servicios!$C$4:$C$24,MATCH(C467,Catalogo_Servicios!$A$4:$A$24,0))</f>
        <v>Estados financieros mensuales</v>
      </c>
      <c r="F467" s="15" t="n">
        <v>3</v>
      </c>
      <c r="G467" s="16" t="n">
        <f aca="false">Parametros!$B$4</f>
        <v>28681</v>
      </c>
      <c r="H467" s="15" t="n">
        <f aca="false">INDEX(Clientes!$E$4:$E$15,MATCH(B467,Clientes!$A$4:$A$15,0))</f>
        <v>1</v>
      </c>
      <c r="I467" s="16" t="n">
        <f aca="false">ROUND(F467*G467*H467,0)</f>
        <v>86043</v>
      </c>
    </row>
    <row r="468" customFormat="false" ht="15" hidden="false" customHeight="false" outlineLevel="0" collapsed="false">
      <c r="A468" s="14" t="n">
        <v>45901</v>
      </c>
      <c r="B468" s="6" t="s">
        <v>29</v>
      </c>
      <c r="C468" s="6" t="s">
        <v>65</v>
      </c>
      <c r="D468" s="0" t="str">
        <f aca="false">INDEX(Clientes!$B$4:$B$15,MATCH(B468,Clientes!$A$4:$A$15,0))</f>
        <v>Distribuidora Los Andes S.A.</v>
      </c>
      <c r="E468" s="0" t="str">
        <f aca="false">INDEX(Catalogo_Servicios!$C$4:$C$24,MATCH(C468,Catalogo_Servicios!$A$4:$A$24,0))</f>
        <v>Declaración mensual de IVA (D-104)</v>
      </c>
      <c r="F468" s="15" t="n">
        <v>0.75</v>
      </c>
      <c r="G468" s="16" t="n">
        <f aca="false">Parametros!$B$4</f>
        <v>28681</v>
      </c>
      <c r="H468" s="15" t="n">
        <f aca="false">INDEX(Clientes!$E$4:$E$15,MATCH(B468,Clientes!$A$4:$A$15,0))</f>
        <v>1</v>
      </c>
      <c r="I468" s="16" t="n">
        <f aca="false">ROUND(F468*G468*H468,0)</f>
        <v>21511</v>
      </c>
    </row>
    <row r="469" customFormat="false" ht="15" hidden="false" customHeight="false" outlineLevel="0" collapsed="false">
      <c r="A469" s="14" t="n">
        <v>45901</v>
      </c>
      <c r="B469" s="6" t="s">
        <v>29</v>
      </c>
      <c r="C469" s="6" t="s">
        <v>66</v>
      </c>
      <c r="D469" s="0" t="str">
        <f aca="false">INDEX(Clientes!$B$4:$B$15,MATCH(B469,Clientes!$A$4:$A$15,0))</f>
        <v>Distribuidora Los Andes S.A.</v>
      </c>
      <c r="E469" s="0" t="str">
        <f aca="false">INDEX(Catalogo_Servicios!$C$4:$C$24,MATCH(C469,Catalogo_Servicios!$A$4:$A$24,0))</f>
        <v>Declaración mensual de retenciones (D-103)</v>
      </c>
      <c r="F469" s="15" t="n">
        <v>0.25</v>
      </c>
      <c r="G469" s="16" t="n">
        <f aca="false">Parametros!$B$4</f>
        <v>28681</v>
      </c>
      <c r="H469" s="15" t="n">
        <f aca="false">INDEX(Clientes!$E$4:$E$15,MATCH(B469,Clientes!$A$4:$A$15,0))</f>
        <v>1</v>
      </c>
      <c r="I469" s="16" t="n">
        <f aca="false">ROUND(F469*G469*H469,0)</f>
        <v>7170</v>
      </c>
    </row>
    <row r="470" customFormat="false" ht="15" hidden="false" customHeight="false" outlineLevel="0" collapsed="false">
      <c r="A470" s="14" t="n">
        <v>45901</v>
      </c>
      <c r="B470" s="6" t="s">
        <v>29</v>
      </c>
      <c r="C470" s="6" t="s">
        <v>67</v>
      </c>
      <c r="D470" s="0" t="str">
        <f aca="false">INDEX(Clientes!$B$4:$B$15,MATCH(B470,Clientes!$A$4:$A$15,0))</f>
        <v>Distribuidora Los Andes S.A.</v>
      </c>
      <c r="E470" s="0" t="str">
        <f aca="false">INDEX(Catalogo_Servicios!$C$4:$C$24,MATCH(C470,Catalogo_Servicios!$A$4:$A$24,0))</f>
        <v>Cálculo de planillas y cargas sociales (CCSS/INS)</v>
      </c>
      <c r="F470" s="15" t="n">
        <v>21</v>
      </c>
      <c r="G470" s="16" t="n">
        <f aca="false">Parametros!$B$4</f>
        <v>28681</v>
      </c>
      <c r="H470" s="15" t="n">
        <f aca="false">INDEX(Clientes!$E$4:$E$15,MATCH(B470,Clientes!$A$4:$A$15,0))</f>
        <v>1</v>
      </c>
      <c r="I470" s="16" t="n">
        <f aca="false">ROUND(F470*G470*H470,0)</f>
        <v>602301</v>
      </c>
    </row>
    <row r="471" customFormat="false" ht="15" hidden="false" customHeight="false" outlineLevel="0" collapsed="false">
      <c r="A471" s="14" t="n">
        <v>45901</v>
      </c>
      <c r="B471" s="6" t="s">
        <v>30</v>
      </c>
      <c r="C471" s="6" t="s">
        <v>64</v>
      </c>
      <c r="D471" s="0" t="str">
        <f aca="false">INDEX(Clientes!$B$4:$B$15,MATCH(B471,Clientes!$A$4:$A$15,0))</f>
        <v>Ferretería El Tornillo</v>
      </c>
      <c r="E471" s="0" t="str">
        <f aca="false">INDEX(Catalogo_Servicios!$C$4:$C$24,MATCH(C471,Catalogo_Servicios!$A$4:$A$24,0))</f>
        <v>Estados financieros mensuales</v>
      </c>
      <c r="F471" s="15" t="n">
        <v>3</v>
      </c>
      <c r="G471" s="16" t="n">
        <f aca="false">Parametros!$B$4</f>
        <v>28681</v>
      </c>
      <c r="H471" s="15" t="n">
        <f aca="false">INDEX(Clientes!$E$4:$E$15,MATCH(B471,Clientes!$A$4:$A$15,0))</f>
        <v>1</v>
      </c>
      <c r="I471" s="16" t="n">
        <f aca="false">ROUND(F471*G471*H471,0)</f>
        <v>86043</v>
      </c>
    </row>
    <row r="472" customFormat="false" ht="15" hidden="false" customHeight="false" outlineLevel="0" collapsed="false">
      <c r="A472" s="14" t="n">
        <v>45901</v>
      </c>
      <c r="B472" s="6" t="s">
        <v>30</v>
      </c>
      <c r="C472" s="6" t="s">
        <v>65</v>
      </c>
      <c r="D472" s="0" t="str">
        <f aca="false">INDEX(Clientes!$B$4:$B$15,MATCH(B472,Clientes!$A$4:$A$15,0))</f>
        <v>Ferretería El Tornillo</v>
      </c>
      <c r="E472" s="0" t="str">
        <f aca="false">INDEX(Catalogo_Servicios!$C$4:$C$24,MATCH(C472,Catalogo_Servicios!$A$4:$A$24,0))</f>
        <v>Declaración mensual de IVA (D-104)</v>
      </c>
      <c r="F472" s="15" t="n">
        <v>0.75</v>
      </c>
      <c r="G472" s="16" t="n">
        <f aca="false">Parametros!$B$4</f>
        <v>28681</v>
      </c>
      <c r="H472" s="15" t="n">
        <f aca="false">INDEX(Clientes!$E$4:$E$15,MATCH(B472,Clientes!$A$4:$A$15,0))</f>
        <v>1</v>
      </c>
      <c r="I472" s="16" t="n">
        <f aca="false">ROUND(F472*G472*H472,0)</f>
        <v>21511</v>
      </c>
    </row>
    <row r="473" customFormat="false" ht="15" hidden="false" customHeight="false" outlineLevel="0" collapsed="false">
      <c r="A473" s="14" t="n">
        <v>45901</v>
      </c>
      <c r="B473" s="6" t="s">
        <v>30</v>
      </c>
      <c r="C473" s="6" t="s">
        <v>66</v>
      </c>
      <c r="D473" s="0" t="str">
        <f aca="false">INDEX(Clientes!$B$4:$B$15,MATCH(B473,Clientes!$A$4:$A$15,0))</f>
        <v>Ferretería El Tornillo</v>
      </c>
      <c r="E473" s="0" t="str">
        <f aca="false">INDEX(Catalogo_Servicios!$C$4:$C$24,MATCH(C473,Catalogo_Servicios!$A$4:$A$24,0))</f>
        <v>Declaración mensual de retenciones (D-103)</v>
      </c>
      <c r="F473" s="15" t="n">
        <v>0.25</v>
      </c>
      <c r="G473" s="16" t="n">
        <f aca="false">Parametros!$B$4</f>
        <v>28681</v>
      </c>
      <c r="H473" s="15" t="n">
        <f aca="false">INDEX(Clientes!$E$4:$E$15,MATCH(B473,Clientes!$A$4:$A$15,0))</f>
        <v>1</v>
      </c>
      <c r="I473" s="16" t="n">
        <f aca="false">ROUND(F473*G473*H473,0)</f>
        <v>7170</v>
      </c>
    </row>
    <row r="474" customFormat="false" ht="15" hidden="false" customHeight="false" outlineLevel="0" collapsed="false">
      <c r="A474" s="14" t="n">
        <v>45901</v>
      </c>
      <c r="B474" s="6" t="s">
        <v>31</v>
      </c>
      <c r="C474" s="6" t="s">
        <v>65</v>
      </c>
      <c r="D474" s="0" t="str">
        <f aca="false">INDEX(Clientes!$B$4:$B$15,MATCH(B474,Clientes!$A$4:$A$15,0))</f>
        <v>Clínica Dental Sonrisa</v>
      </c>
      <c r="E474" s="0" t="str">
        <f aca="false">INDEX(Catalogo_Servicios!$C$4:$C$24,MATCH(C474,Catalogo_Servicios!$A$4:$A$24,0))</f>
        <v>Declaración mensual de IVA (D-104)</v>
      </c>
      <c r="F474" s="15" t="n">
        <v>1</v>
      </c>
      <c r="G474" s="16" t="n">
        <f aca="false">Parametros!$B$4</f>
        <v>28681</v>
      </c>
      <c r="H474" s="15" t="n">
        <f aca="false">INDEX(Clientes!$E$4:$E$15,MATCH(B474,Clientes!$A$4:$A$15,0))</f>
        <v>1.1</v>
      </c>
      <c r="I474" s="16" t="n">
        <f aca="false">ROUND(F474*G474*H474,0)</f>
        <v>31549</v>
      </c>
    </row>
    <row r="475" customFormat="false" ht="15" hidden="false" customHeight="false" outlineLevel="0" collapsed="false">
      <c r="A475" s="14" t="n">
        <v>45901</v>
      </c>
      <c r="B475" s="6" t="s">
        <v>32</v>
      </c>
      <c r="C475" s="6" t="s">
        <v>65</v>
      </c>
      <c r="D475" s="0" t="str">
        <f aca="false">INDEX(Clientes!$B$4:$B$15,MATCH(B475,Clientes!$A$4:$A$15,0))</f>
        <v>Soda y Restaurante Doña Lela</v>
      </c>
      <c r="E475" s="0" t="str">
        <f aca="false">INDEX(Catalogo_Servicios!$C$4:$C$24,MATCH(C475,Catalogo_Servicios!$A$4:$A$24,0))</f>
        <v>Declaración mensual de IVA (D-104)</v>
      </c>
      <c r="F475" s="15" t="n">
        <v>0.75</v>
      </c>
      <c r="G475" s="16" t="n">
        <f aca="false">Parametros!$B$4</f>
        <v>28681</v>
      </c>
      <c r="H475" s="15" t="n">
        <f aca="false">INDEX(Clientes!$E$4:$E$15,MATCH(B475,Clientes!$A$4:$A$15,0))</f>
        <v>1</v>
      </c>
      <c r="I475" s="16" t="n">
        <f aca="false">ROUND(F475*G475*H475,0)</f>
        <v>21511</v>
      </c>
    </row>
    <row r="476" customFormat="false" ht="15" hidden="false" customHeight="false" outlineLevel="0" collapsed="false">
      <c r="A476" s="14" t="n">
        <v>45901</v>
      </c>
      <c r="B476" s="6" t="s">
        <v>33</v>
      </c>
      <c r="C476" s="6" t="s">
        <v>65</v>
      </c>
      <c r="D476" s="0" t="str">
        <f aca="false">INDEX(Clientes!$B$4:$B$15,MATCH(B476,Clientes!$A$4:$A$15,0))</f>
        <v>Transportes Rápidos del Valle</v>
      </c>
      <c r="E476" s="0" t="str">
        <f aca="false">INDEX(Catalogo_Servicios!$C$4:$C$24,MATCH(C476,Catalogo_Servicios!$A$4:$A$24,0))</f>
        <v>Declaración mensual de IVA (D-104)</v>
      </c>
      <c r="F476" s="15" t="n">
        <v>1</v>
      </c>
      <c r="G476" s="16" t="n">
        <f aca="false">Parametros!$B$4</f>
        <v>28681</v>
      </c>
      <c r="H476" s="15" t="n">
        <f aca="false">INDEX(Clientes!$E$4:$E$15,MATCH(B476,Clientes!$A$4:$A$15,0))</f>
        <v>1</v>
      </c>
      <c r="I476" s="16" t="n">
        <f aca="false">ROUND(F476*G476*H476,0)</f>
        <v>28681</v>
      </c>
    </row>
    <row r="477" customFormat="false" ht="15" hidden="false" customHeight="false" outlineLevel="0" collapsed="false">
      <c r="A477" s="14" t="n">
        <v>45901</v>
      </c>
      <c r="B477" s="6" t="s">
        <v>33</v>
      </c>
      <c r="C477" s="6" t="s">
        <v>66</v>
      </c>
      <c r="D477" s="0" t="str">
        <f aca="false">INDEX(Clientes!$B$4:$B$15,MATCH(B477,Clientes!$A$4:$A$15,0))</f>
        <v>Transportes Rápidos del Valle</v>
      </c>
      <c r="E477" s="0" t="str">
        <f aca="false">INDEX(Catalogo_Servicios!$C$4:$C$24,MATCH(C477,Catalogo_Servicios!$A$4:$A$24,0))</f>
        <v>Declaración mensual de retenciones (D-103)</v>
      </c>
      <c r="F477" s="15" t="n">
        <v>0.25</v>
      </c>
      <c r="G477" s="16" t="n">
        <f aca="false">Parametros!$B$4</f>
        <v>28681</v>
      </c>
      <c r="H477" s="15" t="n">
        <f aca="false">INDEX(Clientes!$E$4:$E$15,MATCH(B477,Clientes!$A$4:$A$15,0))</f>
        <v>1</v>
      </c>
      <c r="I477" s="16" t="n">
        <f aca="false">ROUND(F477*G477*H477,0)</f>
        <v>7170</v>
      </c>
    </row>
    <row r="478" customFormat="false" ht="15" hidden="false" customHeight="false" outlineLevel="0" collapsed="false">
      <c r="A478" s="14" t="n">
        <v>45901</v>
      </c>
      <c r="B478" s="6" t="s">
        <v>33</v>
      </c>
      <c r="C478" s="6" t="s">
        <v>67</v>
      </c>
      <c r="D478" s="0" t="str">
        <f aca="false">INDEX(Clientes!$B$4:$B$15,MATCH(B478,Clientes!$A$4:$A$15,0))</f>
        <v>Transportes Rápidos del Valle</v>
      </c>
      <c r="E478" s="0" t="str">
        <f aca="false">INDEX(Catalogo_Servicios!$C$4:$C$24,MATCH(C478,Catalogo_Servicios!$A$4:$A$24,0))</f>
        <v>Cálculo de planillas y cargas sociales (CCSS/INS)</v>
      </c>
      <c r="F478" s="15" t="n">
        <v>6.5</v>
      </c>
      <c r="G478" s="16" t="n">
        <f aca="false">Parametros!$B$4</f>
        <v>28681</v>
      </c>
      <c r="H478" s="15" t="n">
        <f aca="false">INDEX(Clientes!$E$4:$E$15,MATCH(B478,Clientes!$A$4:$A$15,0))</f>
        <v>1</v>
      </c>
      <c r="I478" s="16" t="n">
        <f aca="false">ROUND(F478*G478*H478,0)</f>
        <v>186427</v>
      </c>
    </row>
    <row r="479" customFormat="false" ht="15" hidden="false" customHeight="false" outlineLevel="0" collapsed="false">
      <c r="A479" s="14" t="n">
        <v>45901</v>
      </c>
      <c r="B479" s="6" t="s">
        <v>35</v>
      </c>
      <c r="C479" s="6" t="s">
        <v>68</v>
      </c>
      <c r="D479" s="0" t="str">
        <f aca="false">INDEX(Clientes!$B$4:$B$15,MATCH(B479,Clientes!$A$4:$A$15,0))</f>
        <v>Taller Mecánico Hermanos Mora</v>
      </c>
      <c r="E479" s="0" t="str">
        <f aca="false">INDEX(Catalogo_Servicios!$C$4:$C$24,MATCH(C479,Catalogo_Servicios!$A$4:$A$24,0))</f>
        <v>Asesoría contable, financiera y tributaria</v>
      </c>
      <c r="F479" s="15" t="n">
        <v>2</v>
      </c>
      <c r="G479" s="16" t="n">
        <f aca="false">Parametros!$B$4</f>
        <v>28681</v>
      </c>
      <c r="H479" s="15" t="n">
        <f aca="false">INDEX(Clientes!$E$4:$E$15,MATCH(B479,Clientes!$A$4:$A$15,0))</f>
        <v>1</v>
      </c>
      <c r="I479" s="16" t="n">
        <f aca="false">ROUND(F479*G479*H479,0)</f>
        <v>57362</v>
      </c>
    </row>
    <row r="480" customFormat="false" ht="15" hidden="false" customHeight="false" outlineLevel="0" collapsed="false">
      <c r="A480" s="14" t="n">
        <v>45901</v>
      </c>
      <c r="B480" s="6" t="s">
        <v>35</v>
      </c>
      <c r="C480" s="6" t="s">
        <v>65</v>
      </c>
      <c r="D480" s="0" t="str">
        <f aca="false">INDEX(Clientes!$B$4:$B$15,MATCH(B480,Clientes!$A$4:$A$15,0))</f>
        <v>Taller Mecánico Hermanos Mora</v>
      </c>
      <c r="E480" s="0" t="str">
        <f aca="false">INDEX(Catalogo_Servicios!$C$4:$C$24,MATCH(C480,Catalogo_Servicios!$A$4:$A$24,0))</f>
        <v>Declaración mensual de IVA (D-104)</v>
      </c>
      <c r="F480" s="15" t="n">
        <v>0.75</v>
      </c>
      <c r="G480" s="16" t="n">
        <f aca="false">Parametros!$B$4</f>
        <v>28681</v>
      </c>
      <c r="H480" s="15" t="n">
        <f aca="false">INDEX(Clientes!$E$4:$E$15,MATCH(B480,Clientes!$A$4:$A$15,0))</f>
        <v>1</v>
      </c>
      <c r="I480" s="16" t="n">
        <f aca="false">ROUND(F480*G480*H480,0)</f>
        <v>21511</v>
      </c>
    </row>
    <row r="481" customFormat="false" ht="15" hidden="false" customHeight="false" outlineLevel="0" collapsed="false">
      <c r="A481" s="14" t="n">
        <v>45901</v>
      </c>
      <c r="B481" s="6" t="s">
        <v>36</v>
      </c>
      <c r="C481" s="6" t="s">
        <v>65</v>
      </c>
      <c r="D481" s="0" t="str">
        <f aca="false">INDEX(Clientes!$B$4:$B$15,MATCH(B481,Clientes!$A$4:$A$15,0))</f>
        <v>Agroservicios Cartago</v>
      </c>
      <c r="E481" s="0" t="str">
        <f aca="false">INDEX(Catalogo_Servicios!$C$4:$C$24,MATCH(C481,Catalogo_Servicios!$A$4:$A$24,0))</f>
        <v>Declaración mensual de IVA (D-104)</v>
      </c>
      <c r="F481" s="15" t="n">
        <v>1</v>
      </c>
      <c r="G481" s="16" t="n">
        <f aca="false">Parametros!$B$4</f>
        <v>28681</v>
      </c>
      <c r="H481" s="15" t="n">
        <f aca="false">INDEX(Clientes!$E$4:$E$15,MATCH(B481,Clientes!$A$4:$A$15,0))</f>
        <v>1</v>
      </c>
      <c r="I481" s="16" t="n">
        <f aca="false">ROUND(F481*G481*H481,0)</f>
        <v>28681</v>
      </c>
    </row>
    <row r="482" customFormat="false" ht="15" hidden="false" customHeight="false" outlineLevel="0" collapsed="false">
      <c r="A482" s="14" t="n">
        <v>45901</v>
      </c>
      <c r="B482" s="6" t="s">
        <v>36</v>
      </c>
      <c r="C482" s="6" t="s">
        <v>66</v>
      </c>
      <c r="D482" s="0" t="str">
        <f aca="false">INDEX(Clientes!$B$4:$B$15,MATCH(B482,Clientes!$A$4:$A$15,0))</f>
        <v>Agroservicios Cartago</v>
      </c>
      <c r="E482" s="0" t="str">
        <f aca="false">INDEX(Catalogo_Servicios!$C$4:$C$24,MATCH(C482,Catalogo_Servicios!$A$4:$A$24,0))</f>
        <v>Declaración mensual de retenciones (D-103)</v>
      </c>
      <c r="F482" s="15" t="n">
        <v>0.25</v>
      </c>
      <c r="G482" s="16" t="n">
        <f aca="false">Parametros!$B$4</f>
        <v>28681</v>
      </c>
      <c r="H482" s="15" t="n">
        <f aca="false">INDEX(Clientes!$E$4:$E$15,MATCH(B482,Clientes!$A$4:$A$15,0))</f>
        <v>1</v>
      </c>
      <c r="I482" s="16" t="n">
        <f aca="false">ROUND(F482*G482*H482,0)</f>
        <v>7170</v>
      </c>
    </row>
    <row r="483" customFormat="false" ht="15" hidden="false" customHeight="false" outlineLevel="0" collapsed="false">
      <c r="A483" s="14" t="n">
        <v>45901</v>
      </c>
      <c r="B483" s="6" t="s">
        <v>38</v>
      </c>
      <c r="C483" s="6" t="s">
        <v>65</v>
      </c>
      <c r="D483" s="0" t="str">
        <f aca="false">INDEX(Clientes!$B$4:$B$15,MATCH(B483,Clientes!$A$4:$A$15,0))</f>
        <v>Panadería La Espiga</v>
      </c>
      <c r="E483" s="0" t="str">
        <f aca="false">INDEX(Catalogo_Servicios!$C$4:$C$24,MATCH(C483,Catalogo_Servicios!$A$4:$A$24,0))</f>
        <v>Declaración mensual de IVA (D-104)</v>
      </c>
      <c r="F483" s="15" t="n">
        <v>0.75</v>
      </c>
      <c r="G483" s="16" t="n">
        <f aca="false">Parametros!$B$4</f>
        <v>28681</v>
      </c>
      <c r="H483" s="15" t="n">
        <f aca="false">INDEX(Clientes!$E$4:$E$15,MATCH(B483,Clientes!$A$4:$A$15,0))</f>
        <v>1</v>
      </c>
      <c r="I483" s="16" t="n">
        <f aca="false">ROUND(F483*G483*H483,0)</f>
        <v>21511</v>
      </c>
    </row>
    <row r="484" customFormat="false" ht="15" hidden="false" customHeight="false" outlineLevel="0" collapsed="false">
      <c r="A484" s="14" t="n">
        <v>45901</v>
      </c>
      <c r="B484" s="6" t="s">
        <v>38</v>
      </c>
      <c r="C484" s="6" t="s">
        <v>67</v>
      </c>
      <c r="D484" s="0" t="str">
        <f aca="false">INDEX(Clientes!$B$4:$B$15,MATCH(B484,Clientes!$A$4:$A$15,0))</f>
        <v>Panadería La Espiga</v>
      </c>
      <c r="E484" s="0" t="str">
        <f aca="false">INDEX(Catalogo_Servicios!$C$4:$C$24,MATCH(C484,Catalogo_Servicios!$A$4:$A$24,0))</f>
        <v>Cálculo de planillas y cargas sociales (CCSS/INS)</v>
      </c>
      <c r="F484" s="15" t="n">
        <v>7</v>
      </c>
      <c r="G484" s="16" t="n">
        <f aca="false">Parametros!$B$4</f>
        <v>28681</v>
      </c>
      <c r="H484" s="15" t="n">
        <f aca="false">INDEX(Clientes!$E$4:$E$15,MATCH(B484,Clientes!$A$4:$A$15,0))</f>
        <v>1</v>
      </c>
      <c r="I484" s="16" t="n">
        <f aca="false">ROUND(F484*G484*H484,0)</f>
        <v>200767</v>
      </c>
    </row>
    <row r="485" customFormat="false" ht="15" hidden="false" customHeight="false" outlineLevel="0" collapsed="false">
      <c r="A485" s="14" t="n">
        <v>45931</v>
      </c>
      <c r="B485" s="6" t="s">
        <v>29</v>
      </c>
      <c r="C485" s="6" t="s">
        <v>64</v>
      </c>
      <c r="D485" s="0" t="str">
        <f aca="false">INDEX(Clientes!$B$4:$B$15,MATCH(B485,Clientes!$A$4:$A$15,0))</f>
        <v>Distribuidora Los Andes S.A.</v>
      </c>
      <c r="E485" s="0" t="str">
        <f aca="false">INDEX(Catalogo_Servicios!$C$4:$C$24,MATCH(C485,Catalogo_Servicios!$A$4:$A$24,0))</f>
        <v>Estados financieros mensuales</v>
      </c>
      <c r="F485" s="15" t="n">
        <v>3</v>
      </c>
      <c r="G485" s="16" t="n">
        <f aca="false">Parametros!$B$4</f>
        <v>28681</v>
      </c>
      <c r="H485" s="15" t="n">
        <f aca="false">INDEX(Clientes!$E$4:$E$15,MATCH(B485,Clientes!$A$4:$A$15,0))</f>
        <v>1</v>
      </c>
      <c r="I485" s="16" t="n">
        <f aca="false">ROUND(F485*G485*H485,0)</f>
        <v>86043</v>
      </c>
    </row>
    <row r="486" customFormat="false" ht="15" hidden="false" customHeight="false" outlineLevel="0" collapsed="false">
      <c r="A486" s="14" t="n">
        <v>45931</v>
      </c>
      <c r="B486" s="6" t="s">
        <v>29</v>
      </c>
      <c r="C486" s="6" t="s">
        <v>65</v>
      </c>
      <c r="D486" s="0" t="str">
        <f aca="false">INDEX(Clientes!$B$4:$B$15,MATCH(B486,Clientes!$A$4:$A$15,0))</f>
        <v>Distribuidora Los Andes S.A.</v>
      </c>
      <c r="E486" s="0" t="str">
        <f aca="false">INDEX(Catalogo_Servicios!$C$4:$C$24,MATCH(C486,Catalogo_Servicios!$A$4:$A$24,0))</f>
        <v>Declaración mensual de IVA (D-104)</v>
      </c>
      <c r="F486" s="15" t="n">
        <v>0.75</v>
      </c>
      <c r="G486" s="16" t="n">
        <f aca="false">Parametros!$B$4</f>
        <v>28681</v>
      </c>
      <c r="H486" s="15" t="n">
        <f aca="false">INDEX(Clientes!$E$4:$E$15,MATCH(B486,Clientes!$A$4:$A$15,0))</f>
        <v>1</v>
      </c>
      <c r="I486" s="16" t="n">
        <f aca="false">ROUND(F486*G486*H486,0)</f>
        <v>21511</v>
      </c>
    </row>
    <row r="487" customFormat="false" ht="15" hidden="false" customHeight="false" outlineLevel="0" collapsed="false">
      <c r="A487" s="14" t="n">
        <v>45931</v>
      </c>
      <c r="B487" s="6" t="s">
        <v>29</v>
      </c>
      <c r="C487" s="6" t="s">
        <v>66</v>
      </c>
      <c r="D487" s="0" t="str">
        <f aca="false">INDEX(Clientes!$B$4:$B$15,MATCH(B487,Clientes!$A$4:$A$15,0))</f>
        <v>Distribuidora Los Andes S.A.</v>
      </c>
      <c r="E487" s="0" t="str">
        <f aca="false">INDEX(Catalogo_Servicios!$C$4:$C$24,MATCH(C487,Catalogo_Servicios!$A$4:$A$24,0))</f>
        <v>Declaración mensual de retenciones (D-103)</v>
      </c>
      <c r="F487" s="15" t="n">
        <v>0.25</v>
      </c>
      <c r="G487" s="16" t="n">
        <f aca="false">Parametros!$B$4</f>
        <v>28681</v>
      </c>
      <c r="H487" s="15" t="n">
        <f aca="false">INDEX(Clientes!$E$4:$E$15,MATCH(B487,Clientes!$A$4:$A$15,0))</f>
        <v>1</v>
      </c>
      <c r="I487" s="16" t="n">
        <f aca="false">ROUND(F487*G487*H487,0)</f>
        <v>7170</v>
      </c>
    </row>
    <row r="488" customFormat="false" ht="15" hidden="false" customHeight="false" outlineLevel="0" collapsed="false">
      <c r="A488" s="14" t="n">
        <v>45931</v>
      </c>
      <c r="B488" s="6" t="s">
        <v>29</v>
      </c>
      <c r="C488" s="6" t="s">
        <v>67</v>
      </c>
      <c r="D488" s="0" t="str">
        <f aca="false">INDEX(Clientes!$B$4:$B$15,MATCH(B488,Clientes!$A$4:$A$15,0))</f>
        <v>Distribuidora Los Andes S.A.</v>
      </c>
      <c r="E488" s="0" t="str">
        <f aca="false">INDEX(Catalogo_Servicios!$C$4:$C$24,MATCH(C488,Catalogo_Servicios!$A$4:$A$24,0))</f>
        <v>Cálculo de planillas y cargas sociales (CCSS/INS)</v>
      </c>
      <c r="F488" s="15" t="n">
        <v>21</v>
      </c>
      <c r="G488" s="16" t="n">
        <f aca="false">Parametros!$B$4</f>
        <v>28681</v>
      </c>
      <c r="H488" s="15" t="n">
        <f aca="false">INDEX(Clientes!$E$4:$E$15,MATCH(B488,Clientes!$A$4:$A$15,0))</f>
        <v>1</v>
      </c>
      <c r="I488" s="16" t="n">
        <f aca="false">ROUND(F488*G488*H488,0)</f>
        <v>602301</v>
      </c>
    </row>
    <row r="489" customFormat="false" ht="15" hidden="false" customHeight="false" outlineLevel="0" collapsed="false">
      <c r="A489" s="14" t="n">
        <v>45931</v>
      </c>
      <c r="B489" s="6" t="s">
        <v>30</v>
      </c>
      <c r="C489" s="6" t="s">
        <v>64</v>
      </c>
      <c r="D489" s="0" t="str">
        <f aca="false">INDEX(Clientes!$B$4:$B$15,MATCH(B489,Clientes!$A$4:$A$15,0))</f>
        <v>Ferretería El Tornillo</v>
      </c>
      <c r="E489" s="0" t="str">
        <f aca="false">INDEX(Catalogo_Servicios!$C$4:$C$24,MATCH(C489,Catalogo_Servicios!$A$4:$A$24,0))</f>
        <v>Estados financieros mensuales</v>
      </c>
      <c r="F489" s="15" t="n">
        <v>3.25</v>
      </c>
      <c r="G489" s="16" t="n">
        <f aca="false">Parametros!$B$4</f>
        <v>28681</v>
      </c>
      <c r="H489" s="15" t="n">
        <f aca="false">INDEX(Clientes!$E$4:$E$15,MATCH(B489,Clientes!$A$4:$A$15,0))</f>
        <v>1</v>
      </c>
      <c r="I489" s="16" t="n">
        <f aca="false">ROUND(F489*G489*H489,0)</f>
        <v>93213</v>
      </c>
    </row>
    <row r="490" customFormat="false" ht="15" hidden="false" customHeight="false" outlineLevel="0" collapsed="false">
      <c r="A490" s="14" t="n">
        <v>45931</v>
      </c>
      <c r="B490" s="6" t="s">
        <v>30</v>
      </c>
      <c r="C490" s="6" t="s">
        <v>65</v>
      </c>
      <c r="D490" s="0" t="str">
        <f aca="false">INDEX(Clientes!$B$4:$B$15,MATCH(B490,Clientes!$A$4:$A$15,0))</f>
        <v>Ferretería El Tornillo</v>
      </c>
      <c r="E490" s="0" t="str">
        <f aca="false">INDEX(Catalogo_Servicios!$C$4:$C$24,MATCH(C490,Catalogo_Servicios!$A$4:$A$24,0))</f>
        <v>Declaración mensual de IVA (D-104)</v>
      </c>
      <c r="F490" s="15" t="n">
        <v>0.75</v>
      </c>
      <c r="G490" s="16" t="n">
        <f aca="false">Parametros!$B$4</f>
        <v>28681</v>
      </c>
      <c r="H490" s="15" t="n">
        <f aca="false">INDEX(Clientes!$E$4:$E$15,MATCH(B490,Clientes!$A$4:$A$15,0))</f>
        <v>1</v>
      </c>
      <c r="I490" s="16" t="n">
        <f aca="false">ROUND(F490*G490*H490,0)</f>
        <v>21511</v>
      </c>
    </row>
    <row r="491" customFormat="false" ht="15" hidden="false" customHeight="false" outlineLevel="0" collapsed="false">
      <c r="A491" s="14" t="n">
        <v>45931</v>
      </c>
      <c r="B491" s="6" t="s">
        <v>30</v>
      </c>
      <c r="C491" s="6" t="s">
        <v>66</v>
      </c>
      <c r="D491" s="0" t="str">
        <f aca="false">INDEX(Clientes!$B$4:$B$15,MATCH(B491,Clientes!$A$4:$A$15,0))</f>
        <v>Ferretería El Tornillo</v>
      </c>
      <c r="E491" s="0" t="str">
        <f aca="false">INDEX(Catalogo_Servicios!$C$4:$C$24,MATCH(C491,Catalogo_Servicios!$A$4:$A$24,0))</f>
        <v>Declaración mensual de retenciones (D-103)</v>
      </c>
      <c r="F491" s="15" t="n">
        <v>0.25</v>
      </c>
      <c r="G491" s="16" t="n">
        <f aca="false">Parametros!$B$4</f>
        <v>28681</v>
      </c>
      <c r="H491" s="15" t="n">
        <f aca="false">INDEX(Clientes!$E$4:$E$15,MATCH(B491,Clientes!$A$4:$A$15,0))</f>
        <v>1</v>
      </c>
      <c r="I491" s="16" t="n">
        <f aca="false">ROUND(F491*G491*H491,0)</f>
        <v>7170</v>
      </c>
    </row>
    <row r="492" customFormat="false" ht="15" hidden="false" customHeight="false" outlineLevel="0" collapsed="false">
      <c r="A492" s="14" t="n">
        <v>45931</v>
      </c>
      <c r="B492" s="6" t="s">
        <v>31</v>
      </c>
      <c r="C492" s="6" t="s">
        <v>65</v>
      </c>
      <c r="D492" s="0" t="str">
        <f aca="false">INDEX(Clientes!$B$4:$B$15,MATCH(B492,Clientes!$A$4:$A$15,0))</f>
        <v>Clínica Dental Sonrisa</v>
      </c>
      <c r="E492" s="0" t="str">
        <f aca="false">INDEX(Catalogo_Servicios!$C$4:$C$24,MATCH(C492,Catalogo_Servicios!$A$4:$A$24,0))</f>
        <v>Declaración mensual de IVA (D-104)</v>
      </c>
      <c r="F492" s="15" t="n">
        <v>0.75</v>
      </c>
      <c r="G492" s="16" t="n">
        <f aca="false">Parametros!$B$4</f>
        <v>28681</v>
      </c>
      <c r="H492" s="15" t="n">
        <f aca="false">INDEX(Clientes!$E$4:$E$15,MATCH(B492,Clientes!$A$4:$A$15,0))</f>
        <v>1.1</v>
      </c>
      <c r="I492" s="16" t="n">
        <f aca="false">ROUND(F492*G492*H492,0)</f>
        <v>23662</v>
      </c>
    </row>
    <row r="493" customFormat="false" ht="15" hidden="false" customHeight="false" outlineLevel="0" collapsed="false">
      <c r="A493" s="14" t="n">
        <v>45931</v>
      </c>
      <c r="B493" s="6" t="s">
        <v>32</v>
      </c>
      <c r="C493" s="6" t="s">
        <v>65</v>
      </c>
      <c r="D493" s="0" t="str">
        <f aca="false">INDEX(Clientes!$B$4:$B$15,MATCH(B493,Clientes!$A$4:$A$15,0))</f>
        <v>Soda y Restaurante Doña Lela</v>
      </c>
      <c r="E493" s="0" t="str">
        <f aca="false">INDEX(Catalogo_Servicios!$C$4:$C$24,MATCH(C493,Catalogo_Servicios!$A$4:$A$24,0))</f>
        <v>Declaración mensual de IVA (D-104)</v>
      </c>
      <c r="F493" s="15" t="n">
        <v>0.75</v>
      </c>
      <c r="G493" s="16" t="n">
        <f aca="false">Parametros!$B$4</f>
        <v>28681</v>
      </c>
      <c r="H493" s="15" t="n">
        <f aca="false">INDEX(Clientes!$E$4:$E$15,MATCH(B493,Clientes!$A$4:$A$15,0))</f>
        <v>1</v>
      </c>
      <c r="I493" s="16" t="n">
        <f aca="false">ROUND(F493*G493*H493,0)</f>
        <v>21511</v>
      </c>
    </row>
    <row r="494" customFormat="false" ht="15" hidden="false" customHeight="false" outlineLevel="0" collapsed="false">
      <c r="A494" s="14" t="n">
        <v>45931</v>
      </c>
      <c r="B494" s="6" t="s">
        <v>33</v>
      </c>
      <c r="C494" s="6" t="s">
        <v>65</v>
      </c>
      <c r="D494" s="0" t="str">
        <f aca="false">INDEX(Clientes!$B$4:$B$15,MATCH(B494,Clientes!$A$4:$A$15,0))</f>
        <v>Transportes Rápidos del Valle</v>
      </c>
      <c r="E494" s="0" t="str">
        <f aca="false">INDEX(Catalogo_Servicios!$C$4:$C$24,MATCH(C494,Catalogo_Servicios!$A$4:$A$24,0))</f>
        <v>Declaración mensual de IVA (D-104)</v>
      </c>
      <c r="F494" s="15" t="n">
        <v>0.75</v>
      </c>
      <c r="G494" s="16" t="n">
        <f aca="false">Parametros!$B$4</f>
        <v>28681</v>
      </c>
      <c r="H494" s="15" t="n">
        <f aca="false">INDEX(Clientes!$E$4:$E$15,MATCH(B494,Clientes!$A$4:$A$15,0))</f>
        <v>1</v>
      </c>
      <c r="I494" s="16" t="n">
        <f aca="false">ROUND(F494*G494*H494,0)</f>
        <v>21511</v>
      </c>
    </row>
    <row r="495" customFormat="false" ht="15" hidden="false" customHeight="false" outlineLevel="0" collapsed="false">
      <c r="A495" s="14" t="n">
        <v>45931</v>
      </c>
      <c r="B495" s="6" t="s">
        <v>33</v>
      </c>
      <c r="C495" s="6" t="s">
        <v>66</v>
      </c>
      <c r="D495" s="0" t="str">
        <f aca="false">INDEX(Clientes!$B$4:$B$15,MATCH(B495,Clientes!$A$4:$A$15,0))</f>
        <v>Transportes Rápidos del Valle</v>
      </c>
      <c r="E495" s="0" t="str">
        <f aca="false">INDEX(Catalogo_Servicios!$C$4:$C$24,MATCH(C495,Catalogo_Servicios!$A$4:$A$24,0))</f>
        <v>Declaración mensual de retenciones (D-103)</v>
      </c>
      <c r="F495" s="15" t="n">
        <v>0.25</v>
      </c>
      <c r="G495" s="16" t="n">
        <f aca="false">Parametros!$B$4</f>
        <v>28681</v>
      </c>
      <c r="H495" s="15" t="n">
        <f aca="false">INDEX(Clientes!$E$4:$E$15,MATCH(B495,Clientes!$A$4:$A$15,0))</f>
        <v>1</v>
      </c>
      <c r="I495" s="16" t="n">
        <f aca="false">ROUND(F495*G495*H495,0)</f>
        <v>7170</v>
      </c>
    </row>
    <row r="496" customFormat="false" ht="15" hidden="false" customHeight="false" outlineLevel="0" collapsed="false">
      <c r="A496" s="14" t="n">
        <v>45931</v>
      </c>
      <c r="B496" s="6" t="s">
        <v>33</v>
      </c>
      <c r="C496" s="6" t="s">
        <v>67</v>
      </c>
      <c r="D496" s="0" t="str">
        <f aca="false">INDEX(Clientes!$B$4:$B$15,MATCH(B496,Clientes!$A$4:$A$15,0))</f>
        <v>Transportes Rápidos del Valle</v>
      </c>
      <c r="E496" s="0" t="str">
        <f aca="false">INDEX(Catalogo_Servicios!$C$4:$C$24,MATCH(C496,Catalogo_Servicios!$A$4:$A$24,0))</f>
        <v>Cálculo de planillas y cargas sociales (CCSS/INS)</v>
      </c>
      <c r="F496" s="15" t="n">
        <v>6.5</v>
      </c>
      <c r="G496" s="16" t="n">
        <f aca="false">Parametros!$B$4</f>
        <v>28681</v>
      </c>
      <c r="H496" s="15" t="n">
        <f aca="false">INDEX(Clientes!$E$4:$E$15,MATCH(B496,Clientes!$A$4:$A$15,0))</f>
        <v>1</v>
      </c>
      <c r="I496" s="16" t="n">
        <f aca="false">ROUND(F496*G496*H496,0)</f>
        <v>186427</v>
      </c>
    </row>
    <row r="497" customFormat="false" ht="15" hidden="false" customHeight="false" outlineLevel="0" collapsed="false">
      <c r="A497" s="14" t="n">
        <v>45931</v>
      </c>
      <c r="B497" s="6" t="s">
        <v>35</v>
      </c>
      <c r="C497" s="6" t="s">
        <v>65</v>
      </c>
      <c r="D497" s="0" t="str">
        <f aca="false">INDEX(Clientes!$B$4:$B$15,MATCH(B497,Clientes!$A$4:$A$15,0))</f>
        <v>Taller Mecánico Hermanos Mora</v>
      </c>
      <c r="E497" s="0" t="str">
        <f aca="false">INDEX(Catalogo_Servicios!$C$4:$C$24,MATCH(C497,Catalogo_Servicios!$A$4:$A$24,0))</f>
        <v>Declaración mensual de IVA (D-104)</v>
      </c>
      <c r="F497" s="15" t="n">
        <v>0.75</v>
      </c>
      <c r="G497" s="16" t="n">
        <f aca="false">Parametros!$B$4</f>
        <v>28681</v>
      </c>
      <c r="H497" s="15" t="n">
        <f aca="false">INDEX(Clientes!$E$4:$E$15,MATCH(B497,Clientes!$A$4:$A$15,0))</f>
        <v>1</v>
      </c>
      <c r="I497" s="16" t="n">
        <f aca="false">ROUND(F497*G497*H497,0)</f>
        <v>21511</v>
      </c>
    </row>
    <row r="498" customFormat="false" ht="15" hidden="false" customHeight="false" outlineLevel="0" collapsed="false">
      <c r="A498" s="14" t="n">
        <v>45931</v>
      </c>
      <c r="B498" s="6" t="s">
        <v>36</v>
      </c>
      <c r="C498" s="6" t="s">
        <v>65</v>
      </c>
      <c r="D498" s="0" t="str">
        <f aca="false">INDEX(Clientes!$B$4:$B$15,MATCH(B498,Clientes!$A$4:$A$15,0))</f>
        <v>Agroservicios Cartago</v>
      </c>
      <c r="E498" s="0" t="str">
        <f aca="false">INDEX(Catalogo_Servicios!$C$4:$C$24,MATCH(C498,Catalogo_Servicios!$A$4:$A$24,0))</f>
        <v>Declaración mensual de IVA (D-104)</v>
      </c>
      <c r="F498" s="15" t="n">
        <v>0.75</v>
      </c>
      <c r="G498" s="16" t="n">
        <f aca="false">Parametros!$B$4</f>
        <v>28681</v>
      </c>
      <c r="H498" s="15" t="n">
        <f aca="false">INDEX(Clientes!$E$4:$E$15,MATCH(B498,Clientes!$A$4:$A$15,0))</f>
        <v>1</v>
      </c>
      <c r="I498" s="16" t="n">
        <f aca="false">ROUND(F498*G498*H498,0)</f>
        <v>21511</v>
      </c>
    </row>
    <row r="499" customFormat="false" ht="15" hidden="false" customHeight="false" outlineLevel="0" collapsed="false">
      <c r="A499" s="14" t="n">
        <v>45931</v>
      </c>
      <c r="B499" s="6" t="s">
        <v>36</v>
      </c>
      <c r="C499" s="6" t="s">
        <v>66</v>
      </c>
      <c r="D499" s="0" t="str">
        <f aca="false">INDEX(Clientes!$B$4:$B$15,MATCH(B499,Clientes!$A$4:$A$15,0))</f>
        <v>Agroservicios Cartago</v>
      </c>
      <c r="E499" s="0" t="str">
        <f aca="false">INDEX(Catalogo_Servicios!$C$4:$C$24,MATCH(C499,Catalogo_Servicios!$A$4:$A$24,0))</f>
        <v>Declaración mensual de retenciones (D-103)</v>
      </c>
      <c r="F499" s="15" t="n">
        <v>0.25</v>
      </c>
      <c r="G499" s="16" t="n">
        <f aca="false">Parametros!$B$4</f>
        <v>28681</v>
      </c>
      <c r="H499" s="15" t="n">
        <f aca="false">INDEX(Clientes!$E$4:$E$15,MATCH(B499,Clientes!$A$4:$A$15,0))</f>
        <v>1</v>
      </c>
      <c r="I499" s="16" t="n">
        <f aca="false">ROUND(F499*G499*H499,0)</f>
        <v>7170</v>
      </c>
    </row>
    <row r="500" customFormat="false" ht="15" hidden="false" customHeight="false" outlineLevel="0" collapsed="false">
      <c r="A500" s="14" t="n">
        <v>45931</v>
      </c>
      <c r="B500" s="6" t="s">
        <v>38</v>
      </c>
      <c r="C500" s="6" t="s">
        <v>65</v>
      </c>
      <c r="D500" s="0" t="str">
        <f aca="false">INDEX(Clientes!$B$4:$B$15,MATCH(B500,Clientes!$A$4:$A$15,0))</f>
        <v>Panadería La Espiga</v>
      </c>
      <c r="E500" s="0" t="str">
        <f aca="false">INDEX(Catalogo_Servicios!$C$4:$C$24,MATCH(C500,Catalogo_Servicios!$A$4:$A$24,0))</f>
        <v>Declaración mensual de IVA (D-104)</v>
      </c>
      <c r="F500" s="15" t="n">
        <v>1</v>
      </c>
      <c r="G500" s="16" t="n">
        <f aca="false">Parametros!$B$4</f>
        <v>28681</v>
      </c>
      <c r="H500" s="15" t="n">
        <f aca="false">INDEX(Clientes!$E$4:$E$15,MATCH(B500,Clientes!$A$4:$A$15,0))</f>
        <v>1</v>
      </c>
      <c r="I500" s="16" t="n">
        <f aca="false">ROUND(F500*G500*H500,0)</f>
        <v>28681</v>
      </c>
    </row>
    <row r="501" customFormat="false" ht="15" hidden="false" customHeight="false" outlineLevel="0" collapsed="false">
      <c r="A501" s="14" t="n">
        <v>45931</v>
      </c>
      <c r="B501" s="6" t="s">
        <v>38</v>
      </c>
      <c r="C501" s="6" t="s">
        <v>67</v>
      </c>
      <c r="D501" s="0" t="str">
        <f aca="false">INDEX(Clientes!$B$4:$B$15,MATCH(B501,Clientes!$A$4:$A$15,0))</f>
        <v>Panadería La Espiga</v>
      </c>
      <c r="E501" s="0" t="str">
        <f aca="false">INDEX(Catalogo_Servicios!$C$4:$C$24,MATCH(C501,Catalogo_Servicios!$A$4:$A$24,0))</f>
        <v>Cálculo de planillas y cargas sociales (CCSS/INS)</v>
      </c>
      <c r="F501" s="15" t="n">
        <v>7.5</v>
      </c>
      <c r="G501" s="16" t="n">
        <f aca="false">Parametros!$B$4</f>
        <v>28681</v>
      </c>
      <c r="H501" s="15" t="n">
        <f aca="false">INDEX(Clientes!$E$4:$E$15,MATCH(B501,Clientes!$A$4:$A$15,0))</f>
        <v>1</v>
      </c>
      <c r="I501" s="16" t="n">
        <f aca="false">ROUND(F501*G501*H501,0)</f>
        <v>215108</v>
      </c>
    </row>
    <row r="502" customFormat="false" ht="15" hidden="false" customHeight="false" outlineLevel="0" collapsed="false">
      <c r="A502" s="14" t="n">
        <v>45931</v>
      </c>
      <c r="B502" s="6" t="s">
        <v>40</v>
      </c>
      <c r="C502" s="6" t="s">
        <v>68</v>
      </c>
      <c r="D502" s="0" t="str">
        <f aca="false">INDEX(Clientes!$B$4:$B$15,MATCH(B502,Clientes!$A$4:$A$15,0))</f>
        <v>Veterinaria Mascotas Felices</v>
      </c>
      <c r="E502" s="0" t="str">
        <f aca="false">INDEX(Catalogo_Servicios!$C$4:$C$24,MATCH(C502,Catalogo_Servicios!$A$4:$A$24,0))</f>
        <v>Asesoría contable, financiera y tributaria</v>
      </c>
      <c r="F502" s="15" t="n">
        <v>1</v>
      </c>
      <c r="G502" s="16" t="n">
        <f aca="false">Parametros!$B$4</f>
        <v>28681</v>
      </c>
      <c r="H502" s="15" t="n">
        <f aca="false">INDEX(Clientes!$E$4:$E$15,MATCH(B502,Clientes!$A$4:$A$15,0))</f>
        <v>1.05</v>
      </c>
      <c r="I502" s="16" t="n">
        <f aca="false">ROUND(F502*G502*H502,0)</f>
        <v>30115</v>
      </c>
    </row>
    <row r="503" customFormat="false" ht="15" hidden="false" customHeight="false" outlineLevel="0" collapsed="false">
      <c r="A503" s="14" t="n">
        <v>45962</v>
      </c>
      <c r="B503" s="6" t="s">
        <v>29</v>
      </c>
      <c r="C503" s="6" t="s">
        <v>64</v>
      </c>
      <c r="D503" s="0" t="str">
        <f aca="false">INDEX(Clientes!$B$4:$B$15,MATCH(B503,Clientes!$A$4:$A$15,0))</f>
        <v>Distribuidora Los Andes S.A.</v>
      </c>
      <c r="E503" s="0" t="str">
        <f aca="false">INDEX(Catalogo_Servicios!$C$4:$C$24,MATCH(C503,Catalogo_Servicios!$A$4:$A$24,0))</f>
        <v>Estados financieros mensuales</v>
      </c>
      <c r="F503" s="15" t="n">
        <v>3</v>
      </c>
      <c r="G503" s="16" t="n">
        <f aca="false">Parametros!$B$4</f>
        <v>28681</v>
      </c>
      <c r="H503" s="15" t="n">
        <f aca="false">INDEX(Clientes!$E$4:$E$15,MATCH(B503,Clientes!$A$4:$A$15,0))</f>
        <v>1</v>
      </c>
      <c r="I503" s="16" t="n">
        <f aca="false">ROUND(F503*G503*H503,0)</f>
        <v>86043</v>
      </c>
    </row>
    <row r="504" customFormat="false" ht="15" hidden="false" customHeight="false" outlineLevel="0" collapsed="false">
      <c r="A504" s="14" t="n">
        <v>45962</v>
      </c>
      <c r="B504" s="6" t="s">
        <v>29</v>
      </c>
      <c r="C504" s="6" t="s">
        <v>65</v>
      </c>
      <c r="D504" s="0" t="str">
        <f aca="false">INDEX(Clientes!$B$4:$B$15,MATCH(B504,Clientes!$A$4:$A$15,0))</f>
        <v>Distribuidora Los Andes S.A.</v>
      </c>
      <c r="E504" s="0" t="str">
        <f aca="false">INDEX(Catalogo_Servicios!$C$4:$C$24,MATCH(C504,Catalogo_Servicios!$A$4:$A$24,0))</f>
        <v>Declaración mensual de IVA (D-104)</v>
      </c>
      <c r="F504" s="15" t="n">
        <v>0.75</v>
      </c>
      <c r="G504" s="16" t="n">
        <f aca="false">Parametros!$B$4</f>
        <v>28681</v>
      </c>
      <c r="H504" s="15" t="n">
        <f aca="false">INDEX(Clientes!$E$4:$E$15,MATCH(B504,Clientes!$A$4:$A$15,0))</f>
        <v>1</v>
      </c>
      <c r="I504" s="16" t="n">
        <f aca="false">ROUND(F504*G504*H504,0)</f>
        <v>21511</v>
      </c>
    </row>
    <row r="505" customFormat="false" ht="15" hidden="false" customHeight="false" outlineLevel="0" collapsed="false">
      <c r="A505" s="14" t="n">
        <v>45962</v>
      </c>
      <c r="B505" s="6" t="s">
        <v>29</v>
      </c>
      <c r="C505" s="6" t="s">
        <v>66</v>
      </c>
      <c r="D505" s="0" t="str">
        <f aca="false">INDEX(Clientes!$B$4:$B$15,MATCH(B505,Clientes!$A$4:$A$15,0))</f>
        <v>Distribuidora Los Andes S.A.</v>
      </c>
      <c r="E505" s="0" t="str">
        <f aca="false">INDEX(Catalogo_Servicios!$C$4:$C$24,MATCH(C505,Catalogo_Servicios!$A$4:$A$24,0))</f>
        <v>Declaración mensual de retenciones (D-103)</v>
      </c>
      <c r="F505" s="15" t="n">
        <v>0.25</v>
      </c>
      <c r="G505" s="16" t="n">
        <f aca="false">Parametros!$B$4</f>
        <v>28681</v>
      </c>
      <c r="H505" s="15" t="n">
        <f aca="false">INDEX(Clientes!$E$4:$E$15,MATCH(B505,Clientes!$A$4:$A$15,0))</f>
        <v>1</v>
      </c>
      <c r="I505" s="16" t="n">
        <f aca="false">ROUND(F505*G505*H505,0)</f>
        <v>7170</v>
      </c>
    </row>
    <row r="506" customFormat="false" ht="15" hidden="false" customHeight="false" outlineLevel="0" collapsed="false">
      <c r="A506" s="14" t="n">
        <v>45962</v>
      </c>
      <c r="B506" s="6" t="s">
        <v>29</v>
      </c>
      <c r="C506" s="6" t="s">
        <v>67</v>
      </c>
      <c r="D506" s="0" t="str">
        <f aca="false">INDEX(Clientes!$B$4:$B$15,MATCH(B506,Clientes!$A$4:$A$15,0))</f>
        <v>Distribuidora Los Andes S.A.</v>
      </c>
      <c r="E506" s="0" t="str">
        <f aca="false">INDEX(Catalogo_Servicios!$C$4:$C$24,MATCH(C506,Catalogo_Servicios!$A$4:$A$24,0))</f>
        <v>Cálculo de planillas y cargas sociales (CCSS/INS)</v>
      </c>
      <c r="F506" s="15" t="n">
        <v>23.5</v>
      </c>
      <c r="G506" s="16" t="n">
        <f aca="false">Parametros!$B$4</f>
        <v>28681</v>
      </c>
      <c r="H506" s="15" t="n">
        <f aca="false">INDEX(Clientes!$E$4:$E$15,MATCH(B506,Clientes!$A$4:$A$15,0))</f>
        <v>1</v>
      </c>
      <c r="I506" s="16" t="n">
        <f aca="false">ROUND(F506*G506*H506,0)</f>
        <v>674004</v>
      </c>
    </row>
    <row r="507" customFormat="false" ht="15" hidden="false" customHeight="false" outlineLevel="0" collapsed="false">
      <c r="A507" s="14" t="n">
        <v>45962</v>
      </c>
      <c r="B507" s="6" t="s">
        <v>30</v>
      </c>
      <c r="C507" s="6" t="s">
        <v>64</v>
      </c>
      <c r="D507" s="0" t="str">
        <f aca="false">INDEX(Clientes!$B$4:$B$15,MATCH(B507,Clientes!$A$4:$A$15,0))</f>
        <v>Ferretería El Tornillo</v>
      </c>
      <c r="E507" s="0" t="str">
        <f aca="false">INDEX(Catalogo_Servicios!$C$4:$C$24,MATCH(C507,Catalogo_Servicios!$A$4:$A$24,0))</f>
        <v>Estados financieros mensuales</v>
      </c>
      <c r="F507" s="15" t="n">
        <v>3.25</v>
      </c>
      <c r="G507" s="16" t="n">
        <f aca="false">Parametros!$B$4</f>
        <v>28681</v>
      </c>
      <c r="H507" s="15" t="n">
        <f aca="false">INDEX(Clientes!$E$4:$E$15,MATCH(B507,Clientes!$A$4:$A$15,0))</f>
        <v>1</v>
      </c>
      <c r="I507" s="16" t="n">
        <f aca="false">ROUND(F507*G507*H507,0)</f>
        <v>93213</v>
      </c>
    </row>
    <row r="508" customFormat="false" ht="15" hidden="false" customHeight="false" outlineLevel="0" collapsed="false">
      <c r="A508" s="14" t="n">
        <v>45962</v>
      </c>
      <c r="B508" s="6" t="s">
        <v>30</v>
      </c>
      <c r="C508" s="6" t="s">
        <v>65</v>
      </c>
      <c r="D508" s="0" t="str">
        <f aca="false">INDEX(Clientes!$B$4:$B$15,MATCH(B508,Clientes!$A$4:$A$15,0))</f>
        <v>Ferretería El Tornillo</v>
      </c>
      <c r="E508" s="0" t="str">
        <f aca="false">INDEX(Catalogo_Servicios!$C$4:$C$24,MATCH(C508,Catalogo_Servicios!$A$4:$A$24,0))</f>
        <v>Declaración mensual de IVA (D-104)</v>
      </c>
      <c r="F508" s="15" t="n">
        <v>0.75</v>
      </c>
      <c r="G508" s="16" t="n">
        <f aca="false">Parametros!$B$4</f>
        <v>28681</v>
      </c>
      <c r="H508" s="15" t="n">
        <f aca="false">INDEX(Clientes!$E$4:$E$15,MATCH(B508,Clientes!$A$4:$A$15,0))</f>
        <v>1</v>
      </c>
      <c r="I508" s="16" t="n">
        <f aca="false">ROUND(F508*G508*H508,0)</f>
        <v>21511</v>
      </c>
    </row>
    <row r="509" customFormat="false" ht="15" hidden="false" customHeight="false" outlineLevel="0" collapsed="false">
      <c r="A509" s="14" t="n">
        <v>45962</v>
      </c>
      <c r="B509" s="6" t="s">
        <v>30</v>
      </c>
      <c r="C509" s="6" t="s">
        <v>66</v>
      </c>
      <c r="D509" s="0" t="str">
        <f aca="false">INDEX(Clientes!$B$4:$B$15,MATCH(B509,Clientes!$A$4:$A$15,0))</f>
        <v>Ferretería El Tornillo</v>
      </c>
      <c r="E509" s="0" t="str">
        <f aca="false">INDEX(Catalogo_Servicios!$C$4:$C$24,MATCH(C509,Catalogo_Servicios!$A$4:$A$24,0))</f>
        <v>Declaración mensual de retenciones (D-103)</v>
      </c>
      <c r="F509" s="15" t="n">
        <v>0.25</v>
      </c>
      <c r="G509" s="16" t="n">
        <f aca="false">Parametros!$B$4</f>
        <v>28681</v>
      </c>
      <c r="H509" s="15" t="n">
        <f aca="false">INDEX(Clientes!$E$4:$E$15,MATCH(B509,Clientes!$A$4:$A$15,0))</f>
        <v>1</v>
      </c>
      <c r="I509" s="16" t="n">
        <f aca="false">ROUND(F509*G509*H509,0)</f>
        <v>7170</v>
      </c>
    </row>
    <row r="510" customFormat="false" ht="15" hidden="false" customHeight="false" outlineLevel="0" collapsed="false">
      <c r="A510" s="14" t="n">
        <v>45962</v>
      </c>
      <c r="B510" s="6" t="s">
        <v>31</v>
      </c>
      <c r="C510" s="6" t="s">
        <v>65</v>
      </c>
      <c r="D510" s="0" t="str">
        <f aca="false">INDEX(Clientes!$B$4:$B$15,MATCH(B510,Clientes!$A$4:$A$15,0))</f>
        <v>Clínica Dental Sonrisa</v>
      </c>
      <c r="E510" s="0" t="str">
        <f aca="false">INDEX(Catalogo_Servicios!$C$4:$C$24,MATCH(C510,Catalogo_Servicios!$A$4:$A$24,0))</f>
        <v>Declaración mensual de IVA (D-104)</v>
      </c>
      <c r="F510" s="15" t="n">
        <v>1</v>
      </c>
      <c r="G510" s="16" t="n">
        <f aca="false">Parametros!$B$4</f>
        <v>28681</v>
      </c>
      <c r="H510" s="15" t="n">
        <f aca="false">INDEX(Clientes!$E$4:$E$15,MATCH(B510,Clientes!$A$4:$A$15,0))</f>
        <v>1.1</v>
      </c>
      <c r="I510" s="16" t="n">
        <f aca="false">ROUND(F510*G510*H510,0)</f>
        <v>31549</v>
      </c>
    </row>
    <row r="511" customFormat="false" ht="15" hidden="false" customHeight="false" outlineLevel="0" collapsed="false">
      <c r="A511" s="14" t="n">
        <v>45962</v>
      </c>
      <c r="B511" s="6" t="s">
        <v>32</v>
      </c>
      <c r="C511" s="6" t="s">
        <v>65</v>
      </c>
      <c r="D511" s="0" t="str">
        <f aca="false">INDEX(Clientes!$B$4:$B$15,MATCH(B511,Clientes!$A$4:$A$15,0))</f>
        <v>Soda y Restaurante Doña Lela</v>
      </c>
      <c r="E511" s="0" t="str">
        <f aca="false">INDEX(Catalogo_Servicios!$C$4:$C$24,MATCH(C511,Catalogo_Servicios!$A$4:$A$24,0))</f>
        <v>Declaración mensual de IVA (D-104)</v>
      </c>
      <c r="F511" s="15" t="n">
        <v>1</v>
      </c>
      <c r="G511" s="16" t="n">
        <f aca="false">Parametros!$B$4</f>
        <v>28681</v>
      </c>
      <c r="H511" s="15" t="n">
        <f aca="false">INDEX(Clientes!$E$4:$E$15,MATCH(B511,Clientes!$A$4:$A$15,0))</f>
        <v>1</v>
      </c>
      <c r="I511" s="16" t="n">
        <f aca="false">ROUND(F511*G511*H511,0)</f>
        <v>28681</v>
      </c>
    </row>
    <row r="512" customFormat="false" ht="15" hidden="false" customHeight="false" outlineLevel="0" collapsed="false">
      <c r="A512" s="14" t="n">
        <v>45962</v>
      </c>
      <c r="B512" s="6" t="s">
        <v>33</v>
      </c>
      <c r="C512" s="6" t="s">
        <v>65</v>
      </c>
      <c r="D512" s="0" t="str">
        <f aca="false">INDEX(Clientes!$B$4:$B$15,MATCH(B512,Clientes!$A$4:$A$15,0))</f>
        <v>Transportes Rápidos del Valle</v>
      </c>
      <c r="E512" s="0" t="str">
        <f aca="false">INDEX(Catalogo_Servicios!$C$4:$C$24,MATCH(C512,Catalogo_Servicios!$A$4:$A$24,0))</f>
        <v>Declaración mensual de IVA (D-104)</v>
      </c>
      <c r="F512" s="15" t="n">
        <v>0.75</v>
      </c>
      <c r="G512" s="16" t="n">
        <f aca="false">Parametros!$B$4</f>
        <v>28681</v>
      </c>
      <c r="H512" s="15" t="n">
        <f aca="false">INDEX(Clientes!$E$4:$E$15,MATCH(B512,Clientes!$A$4:$A$15,0))</f>
        <v>1</v>
      </c>
      <c r="I512" s="16" t="n">
        <f aca="false">ROUND(F512*G512*H512,0)</f>
        <v>21511</v>
      </c>
    </row>
    <row r="513" customFormat="false" ht="15" hidden="false" customHeight="false" outlineLevel="0" collapsed="false">
      <c r="A513" s="14" t="n">
        <v>45962</v>
      </c>
      <c r="B513" s="6" t="s">
        <v>33</v>
      </c>
      <c r="C513" s="6" t="s">
        <v>66</v>
      </c>
      <c r="D513" s="0" t="str">
        <f aca="false">INDEX(Clientes!$B$4:$B$15,MATCH(B513,Clientes!$A$4:$A$15,0))</f>
        <v>Transportes Rápidos del Valle</v>
      </c>
      <c r="E513" s="0" t="str">
        <f aca="false">INDEX(Catalogo_Servicios!$C$4:$C$24,MATCH(C513,Catalogo_Servicios!$A$4:$A$24,0))</f>
        <v>Declaración mensual de retenciones (D-103)</v>
      </c>
      <c r="F513" s="15" t="n">
        <v>0.25</v>
      </c>
      <c r="G513" s="16" t="n">
        <f aca="false">Parametros!$B$4</f>
        <v>28681</v>
      </c>
      <c r="H513" s="15" t="n">
        <f aca="false">INDEX(Clientes!$E$4:$E$15,MATCH(B513,Clientes!$A$4:$A$15,0))</f>
        <v>1</v>
      </c>
      <c r="I513" s="16" t="n">
        <f aca="false">ROUND(F513*G513*H513,0)</f>
        <v>7170</v>
      </c>
    </row>
    <row r="514" customFormat="false" ht="15" hidden="false" customHeight="false" outlineLevel="0" collapsed="false">
      <c r="A514" s="14" t="n">
        <v>45962</v>
      </c>
      <c r="B514" s="6" t="s">
        <v>33</v>
      </c>
      <c r="C514" s="6" t="s">
        <v>67</v>
      </c>
      <c r="D514" s="0" t="str">
        <f aca="false">INDEX(Clientes!$B$4:$B$15,MATCH(B514,Clientes!$A$4:$A$15,0))</f>
        <v>Transportes Rápidos del Valle</v>
      </c>
      <c r="E514" s="0" t="str">
        <f aca="false">INDEX(Catalogo_Servicios!$C$4:$C$24,MATCH(C514,Catalogo_Servicios!$A$4:$A$24,0))</f>
        <v>Cálculo de planillas y cargas sociales (CCSS/INS)</v>
      </c>
      <c r="F514" s="15" t="n">
        <v>6</v>
      </c>
      <c r="G514" s="16" t="n">
        <f aca="false">Parametros!$B$4</f>
        <v>28681</v>
      </c>
      <c r="H514" s="15" t="n">
        <f aca="false">INDEX(Clientes!$E$4:$E$15,MATCH(B514,Clientes!$A$4:$A$15,0))</f>
        <v>1</v>
      </c>
      <c r="I514" s="16" t="n">
        <f aca="false">ROUND(F514*G514*H514,0)</f>
        <v>172086</v>
      </c>
    </row>
    <row r="515" customFormat="false" ht="15" hidden="false" customHeight="false" outlineLevel="0" collapsed="false">
      <c r="A515" s="14" t="n">
        <v>45962</v>
      </c>
      <c r="B515" s="6" t="s">
        <v>35</v>
      </c>
      <c r="C515" s="6" t="s">
        <v>65</v>
      </c>
      <c r="D515" s="0" t="str">
        <f aca="false">INDEX(Clientes!$B$4:$B$15,MATCH(B515,Clientes!$A$4:$A$15,0))</f>
        <v>Taller Mecánico Hermanos Mora</v>
      </c>
      <c r="E515" s="0" t="str">
        <f aca="false">INDEX(Catalogo_Servicios!$C$4:$C$24,MATCH(C515,Catalogo_Servicios!$A$4:$A$24,0))</f>
        <v>Declaración mensual de IVA (D-104)</v>
      </c>
      <c r="F515" s="15" t="n">
        <v>0.75</v>
      </c>
      <c r="G515" s="16" t="n">
        <f aca="false">Parametros!$B$4</f>
        <v>28681</v>
      </c>
      <c r="H515" s="15" t="n">
        <f aca="false">INDEX(Clientes!$E$4:$E$15,MATCH(B515,Clientes!$A$4:$A$15,0))</f>
        <v>1</v>
      </c>
      <c r="I515" s="16" t="n">
        <f aca="false">ROUND(F515*G515*H515,0)</f>
        <v>21511</v>
      </c>
    </row>
    <row r="516" customFormat="false" ht="15" hidden="false" customHeight="false" outlineLevel="0" collapsed="false">
      <c r="A516" s="14" t="n">
        <v>45962</v>
      </c>
      <c r="B516" s="6" t="s">
        <v>36</v>
      </c>
      <c r="C516" s="6" t="s">
        <v>65</v>
      </c>
      <c r="D516" s="0" t="str">
        <f aca="false">INDEX(Clientes!$B$4:$B$15,MATCH(B516,Clientes!$A$4:$A$15,0))</f>
        <v>Agroservicios Cartago</v>
      </c>
      <c r="E516" s="0" t="str">
        <f aca="false">INDEX(Catalogo_Servicios!$C$4:$C$24,MATCH(C516,Catalogo_Servicios!$A$4:$A$24,0))</f>
        <v>Declaración mensual de IVA (D-104)</v>
      </c>
      <c r="F516" s="15" t="n">
        <v>0.75</v>
      </c>
      <c r="G516" s="16" t="n">
        <f aca="false">Parametros!$B$4</f>
        <v>28681</v>
      </c>
      <c r="H516" s="15" t="n">
        <f aca="false">INDEX(Clientes!$E$4:$E$15,MATCH(B516,Clientes!$A$4:$A$15,0))</f>
        <v>1</v>
      </c>
      <c r="I516" s="16" t="n">
        <f aca="false">ROUND(F516*G516*H516,0)</f>
        <v>21511</v>
      </c>
    </row>
    <row r="517" customFormat="false" ht="15" hidden="false" customHeight="false" outlineLevel="0" collapsed="false">
      <c r="A517" s="14" t="n">
        <v>45962</v>
      </c>
      <c r="B517" s="6" t="s">
        <v>36</v>
      </c>
      <c r="C517" s="6" t="s">
        <v>66</v>
      </c>
      <c r="D517" s="0" t="str">
        <f aca="false">INDEX(Clientes!$B$4:$B$15,MATCH(B517,Clientes!$A$4:$A$15,0))</f>
        <v>Agroservicios Cartago</v>
      </c>
      <c r="E517" s="0" t="str">
        <f aca="false">INDEX(Catalogo_Servicios!$C$4:$C$24,MATCH(C517,Catalogo_Servicios!$A$4:$A$24,0))</f>
        <v>Declaración mensual de retenciones (D-103)</v>
      </c>
      <c r="F517" s="15" t="n">
        <v>0.25</v>
      </c>
      <c r="G517" s="16" t="n">
        <f aca="false">Parametros!$B$4</f>
        <v>28681</v>
      </c>
      <c r="H517" s="15" t="n">
        <f aca="false">INDEX(Clientes!$E$4:$E$15,MATCH(B517,Clientes!$A$4:$A$15,0))</f>
        <v>1</v>
      </c>
      <c r="I517" s="16" t="n">
        <f aca="false">ROUND(F517*G517*H517,0)</f>
        <v>7170</v>
      </c>
    </row>
    <row r="518" customFormat="false" ht="15" hidden="false" customHeight="false" outlineLevel="0" collapsed="false">
      <c r="A518" s="14" t="n">
        <v>45962</v>
      </c>
      <c r="B518" s="6" t="s">
        <v>38</v>
      </c>
      <c r="C518" s="6" t="s">
        <v>65</v>
      </c>
      <c r="D518" s="0" t="str">
        <f aca="false">INDEX(Clientes!$B$4:$B$15,MATCH(B518,Clientes!$A$4:$A$15,0))</f>
        <v>Panadería La Espiga</v>
      </c>
      <c r="E518" s="0" t="str">
        <f aca="false">INDEX(Catalogo_Servicios!$C$4:$C$24,MATCH(C518,Catalogo_Servicios!$A$4:$A$24,0))</f>
        <v>Declaración mensual de IVA (D-104)</v>
      </c>
      <c r="F518" s="15" t="n">
        <v>0.75</v>
      </c>
      <c r="G518" s="16" t="n">
        <f aca="false">Parametros!$B$4</f>
        <v>28681</v>
      </c>
      <c r="H518" s="15" t="n">
        <f aca="false">INDEX(Clientes!$E$4:$E$15,MATCH(B518,Clientes!$A$4:$A$15,0))</f>
        <v>1</v>
      </c>
      <c r="I518" s="16" t="n">
        <f aca="false">ROUND(F518*G518*H518,0)</f>
        <v>21511</v>
      </c>
    </row>
    <row r="519" customFormat="false" ht="15" hidden="false" customHeight="false" outlineLevel="0" collapsed="false">
      <c r="A519" s="14" t="n">
        <v>45962</v>
      </c>
      <c r="B519" s="6" t="s">
        <v>38</v>
      </c>
      <c r="C519" s="6" t="s">
        <v>67</v>
      </c>
      <c r="D519" s="0" t="str">
        <f aca="false">INDEX(Clientes!$B$4:$B$15,MATCH(B519,Clientes!$A$4:$A$15,0))</f>
        <v>Panadería La Espiga</v>
      </c>
      <c r="E519" s="0" t="str">
        <f aca="false">INDEX(Catalogo_Servicios!$C$4:$C$24,MATCH(C519,Catalogo_Servicios!$A$4:$A$24,0))</f>
        <v>Cálculo de planillas y cargas sociales (CCSS/INS)</v>
      </c>
      <c r="F519" s="15" t="n">
        <v>7.5</v>
      </c>
      <c r="G519" s="16" t="n">
        <f aca="false">Parametros!$B$4</f>
        <v>28681</v>
      </c>
      <c r="H519" s="15" t="n">
        <f aca="false">INDEX(Clientes!$E$4:$E$15,MATCH(B519,Clientes!$A$4:$A$15,0))</f>
        <v>1</v>
      </c>
      <c r="I519" s="16" t="n">
        <f aca="false">ROUND(F519*G519*H519,0)</f>
        <v>215108</v>
      </c>
    </row>
    <row r="520" customFormat="false" ht="15" hidden="false" customHeight="false" outlineLevel="0" collapsed="false">
      <c r="A520" s="14" t="n">
        <v>45992</v>
      </c>
      <c r="B520" s="6" t="s">
        <v>29</v>
      </c>
      <c r="C520" s="6" t="s">
        <v>64</v>
      </c>
      <c r="D520" s="0" t="str">
        <f aca="false">INDEX(Clientes!$B$4:$B$15,MATCH(B520,Clientes!$A$4:$A$15,0))</f>
        <v>Distribuidora Los Andes S.A.</v>
      </c>
      <c r="E520" s="0" t="str">
        <f aca="false">INDEX(Catalogo_Servicios!$C$4:$C$24,MATCH(C520,Catalogo_Servicios!$A$4:$A$24,0))</f>
        <v>Estados financieros mensuales</v>
      </c>
      <c r="F520" s="15" t="n">
        <v>3</v>
      </c>
      <c r="G520" s="16" t="n">
        <f aca="false">Parametros!$B$4</f>
        <v>28681</v>
      </c>
      <c r="H520" s="15" t="n">
        <f aca="false">INDEX(Clientes!$E$4:$E$15,MATCH(B520,Clientes!$A$4:$A$15,0))</f>
        <v>1</v>
      </c>
      <c r="I520" s="16" t="n">
        <f aca="false">ROUND(F520*G520*H520,0)</f>
        <v>86043</v>
      </c>
    </row>
    <row r="521" customFormat="false" ht="15" hidden="false" customHeight="false" outlineLevel="0" collapsed="false">
      <c r="A521" s="14" t="n">
        <v>45992</v>
      </c>
      <c r="B521" s="6" t="s">
        <v>29</v>
      </c>
      <c r="C521" s="6" t="s">
        <v>65</v>
      </c>
      <c r="D521" s="0" t="str">
        <f aca="false">INDEX(Clientes!$B$4:$B$15,MATCH(B521,Clientes!$A$4:$A$15,0))</f>
        <v>Distribuidora Los Andes S.A.</v>
      </c>
      <c r="E521" s="0" t="str">
        <f aca="false">INDEX(Catalogo_Servicios!$C$4:$C$24,MATCH(C521,Catalogo_Servicios!$A$4:$A$24,0))</f>
        <v>Declaración mensual de IVA (D-104)</v>
      </c>
      <c r="F521" s="15" t="n">
        <v>0.75</v>
      </c>
      <c r="G521" s="16" t="n">
        <f aca="false">Parametros!$B$4</f>
        <v>28681</v>
      </c>
      <c r="H521" s="15" t="n">
        <f aca="false">INDEX(Clientes!$E$4:$E$15,MATCH(B521,Clientes!$A$4:$A$15,0))</f>
        <v>1</v>
      </c>
      <c r="I521" s="16" t="n">
        <f aca="false">ROUND(F521*G521*H521,0)</f>
        <v>21511</v>
      </c>
    </row>
    <row r="522" customFormat="false" ht="15" hidden="false" customHeight="false" outlineLevel="0" collapsed="false">
      <c r="A522" s="14" t="n">
        <v>45992</v>
      </c>
      <c r="B522" s="6" t="s">
        <v>29</v>
      </c>
      <c r="C522" s="6" t="s">
        <v>66</v>
      </c>
      <c r="D522" s="0" t="str">
        <f aca="false">INDEX(Clientes!$B$4:$B$15,MATCH(B522,Clientes!$A$4:$A$15,0))</f>
        <v>Distribuidora Los Andes S.A.</v>
      </c>
      <c r="E522" s="0" t="str">
        <f aca="false">INDEX(Catalogo_Servicios!$C$4:$C$24,MATCH(C522,Catalogo_Servicios!$A$4:$A$24,0))</f>
        <v>Declaración mensual de retenciones (D-103)</v>
      </c>
      <c r="F522" s="15" t="n">
        <v>0.25</v>
      </c>
      <c r="G522" s="16" t="n">
        <f aca="false">Parametros!$B$4</f>
        <v>28681</v>
      </c>
      <c r="H522" s="15" t="n">
        <f aca="false">INDEX(Clientes!$E$4:$E$15,MATCH(B522,Clientes!$A$4:$A$15,0))</f>
        <v>1</v>
      </c>
      <c r="I522" s="16" t="n">
        <f aca="false">ROUND(F522*G522*H522,0)</f>
        <v>7170</v>
      </c>
    </row>
    <row r="523" customFormat="false" ht="15" hidden="false" customHeight="false" outlineLevel="0" collapsed="false">
      <c r="A523" s="14" t="n">
        <v>45992</v>
      </c>
      <c r="B523" s="6" t="s">
        <v>29</v>
      </c>
      <c r="C523" s="6" t="s">
        <v>67</v>
      </c>
      <c r="D523" s="0" t="str">
        <f aca="false">INDEX(Clientes!$B$4:$B$15,MATCH(B523,Clientes!$A$4:$A$15,0))</f>
        <v>Distribuidora Los Andes S.A.</v>
      </c>
      <c r="E523" s="0" t="str">
        <f aca="false">INDEX(Catalogo_Servicios!$C$4:$C$24,MATCH(C523,Catalogo_Servicios!$A$4:$A$24,0))</f>
        <v>Cálculo de planillas y cargas sociales (CCSS/INS)</v>
      </c>
      <c r="F523" s="15" t="n">
        <v>25</v>
      </c>
      <c r="G523" s="16" t="n">
        <f aca="false">Parametros!$B$4</f>
        <v>28681</v>
      </c>
      <c r="H523" s="15" t="n">
        <f aca="false">INDEX(Clientes!$E$4:$E$15,MATCH(B523,Clientes!$A$4:$A$15,0))</f>
        <v>1</v>
      </c>
      <c r="I523" s="16" t="n">
        <f aca="false">ROUND(F523*G523*H523,0)</f>
        <v>717025</v>
      </c>
    </row>
    <row r="524" customFormat="false" ht="15" hidden="false" customHeight="false" outlineLevel="0" collapsed="false">
      <c r="A524" s="14" t="n">
        <v>45992</v>
      </c>
      <c r="B524" s="6" t="s">
        <v>29</v>
      </c>
      <c r="C524" s="6" t="s">
        <v>69</v>
      </c>
      <c r="D524" s="0" t="str">
        <f aca="false">INDEX(Clientes!$B$4:$B$15,MATCH(B524,Clientes!$A$4:$A$15,0))</f>
        <v>Distribuidora Los Andes S.A.</v>
      </c>
      <c r="E524" s="0" t="str">
        <f aca="false">INDEX(Catalogo_Servicios!$C$4:$C$24,MATCH(C524,Catalogo_Servicios!$A$4:$A$24,0))</f>
        <v>Declaración anual de renta (D-101 / D-105)</v>
      </c>
      <c r="F524" s="15" t="n">
        <v>1.5</v>
      </c>
      <c r="G524" s="16" t="n">
        <f aca="false">Parametros!$B$4</f>
        <v>28681</v>
      </c>
      <c r="H524" s="15" t="n">
        <f aca="false">INDEX(Clientes!$E$4:$E$15,MATCH(B524,Clientes!$A$4:$A$15,0))</f>
        <v>1</v>
      </c>
      <c r="I524" s="16" t="n">
        <f aca="false">ROUND(F524*G524*H524,0)</f>
        <v>43022</v>
      </c>
    </row>
    <row r="525" customFormat="false" ht="15" hidden="false" customHeight="false" outlineLevel="0" collapsed="false">
      <c r="A525" s="14" t="n">
        <v>45992</v>
      </c>
      <c r="B525" s="6" t="s">
        <v>29</v>
      </c>
      <c r="C525" s="6" t="s">
        <v>70</v>
      </c>
      <c r="D525" s="0" t="str">
        <f aca="false">INDEX(Clientes!$B$4:$B$15,MATCH(B525,Clientes!$A$4:$A$15,0))</f>
        <v>Distribuidora Los Andes S.A.</v>
      </c>
      <c r="E525" s="0" t="str">
        <f aca="false">INDEX(Catalogo_Servicios!$C$4:$C$24,MATCH(C525,Catalogo_Servicios!$A$4:$A$24,0))</f>
        <v>Estados financieros anuales / cierre fiscal</v>
      </c>
      <c r="F525" s="15" t="n">
        <v>6</v>
      </c>
      <c r="G525" s="16" t="n">
        <f aca="false">Parametros!$B$4</f>
        <v>28681</v>
      </c>
      <c r="H525" s="15" t="n">
        <f aca="false">INDEX(Clientes!$E$4:$E$15,MATCH(B525,Clientes!$A$4:$A$15,0))</f>
        <v>1</v>
      </c>
      <c r="I525" s="16" t="n">
        <f aca="false">ROUND(F525*G525*H525,0)</f>
        <v>172086</v>
      </c>
    </row>
    <row r="526" customFormat="false" ht="15" hidden="false" customHeight="false" outlineLevel="0" collapsed="false">
      <c r="A526" s="14" t="n">
        <v>45992</v>
      </c>
      <c r="B526" s="6" t="s">
        <v>30</v>
      </c>
      <c r="C526" s="6" t="s">
        <v>64</v>
      </c>
      <c r="D526" s="0" t="str">
        <f aca="false">INDEX(Clientes!$B$4:$B$15,MATCH(B526,Clientes!$A$4:$A$15,0))</f>
        <v>Ferretería El Tornillo</v>
      </c>
      <c r="E526" s="0" t="str">
        <f aca="false">INDEX(Catalogo_Servicios!$C$4:$C$24,MATCH(C526,Catalogo_Servicios!$A$4:$A$24,0))</f>
        <v>Estados financieros mensuales</v>
      </c>
      <c r="F526" s="15" t="n">
        <v>3.5</v>
      </c>
      <c r="G526" s="16" t="n">
        <f aca="false">Parametros!$B$4</f>
        <v>28681</v>
      </c>
      <c r="H526" s="15" t="n">
        <f aca="false">INDEX(Clientes!$E$4:$E$15,MATCH(B526,Clientes!$A$4:$A$15,0))</f>
        <v>1</v>
      </c>
      <c r="I526" s="16" t="n">
        <f aca="false">ROUND(F526*G526*H526,0)</f>
        <v>100384</v>
      </c>
    </row>
    <row r="527" customFormat="false" ht="15" hidden="false" customHeight="false" outlineLevel="0" collapsed="false">
      <c r="A527" s="14" t="n">
        <v>45992</v>
      </c>
      <c r="B527" s="6" t="s">
        <v>30</v>
      </c>
      <c r="C527" s="6" t="s">
        <v>65</v>
      </c>
      <c r="D527" s="0" t="str">
        <f aca="false">INDEX(Clientes!$B$4:$B$15,MATCH(B527,Clientes!$A$4:$A$15,0))</f>
        <v>Ferretería El Tornillo</v>
      </c>
      <c r="E527" s="0" t="str">
        <f aca="false">INDEX(Catalogo_Servicios!$C$4:$C$24,MATCH(C527,Catalogo_Servicios!$A$4:$A$24,0))</f>
        <v>Declaración mensual de IVA (D-104)</v>
      </c>
      <c r="F527" s="15" t="n">
        <v>0.75</v>
      </c>
      <c r="G527" s="16" t="n">
        <f aca="false">Parametros!$B$4</f>
        <v>28681</v>
      </c>
      <c r="H527" s="15" t="n">
        <f aca="false">INDEX(Clientes!$E$4:$E$15,MATCH(B527,Clientes!$A$4:$A$15,0))</f>
        <v>1</v>
      </c>
      <c r="I527" s="16" t="n">
        <f aca="false">ROUND(F527*G527*H527,0)</f>
        <v>21511</v>
      </c>
    </row>
    <row r="528" customFormat="false" ht="15" hidden="false" customHeight="false" outlineLevel="0" collapsed="false">
      <c r="A528" s="14" t="n">
        <v>45992</v>
      </c>
      <c r="B528" s="6" t="s">
        <v>30</v>
      </c>
      <c r="C528" s="6" t="s">
        <v>66</v>
      </c>
      <c r="D528" s="0" t="str">
        <f aca="false">INDEX(Clientes!$B$4:$B$15,MATCH(B528,Clientes!$A$4:$A$15,0))</f>
        <v>Ferretería El Tornillo</v>
      </c>
      <c r="E528" s="0" t="str">
        <f aca="false">INDEX(Catalogo_Servicios!$C$4:$C$24,MATCH(C528,Catalogo_Servicios!$A$4:$A$24,0))</f>
        <v>Declaración mensual de retenciones (D-103)</v>
      </c>
      <c r="F528" s="15" t="n">
        <v>0.25</v>
      </c>
      <c r="G528" s="16" t="n">
        <f aca="false">Parametros!$B$4</f>
        <v>28681</v>
      </c>
      <c r="H528" s="15" t="n">
        <f aca="false">INDEX(Clientes!$E$4:$E$15,MATCH(B528,Clientes!$A$4:$A$15,0))</f>
        <v>1</v>
      </c>
      <c r="I528" s="16" t="n">
        <f aca="false">ROUND(F528*G528*H528,0)</f>
        <v>7170</v>
      </c>
    </row>
    <row r="529" customFormat="false" ht="15" hidden="false" customHeight="false" outlineLevel="0" collapsed="false">
      <c r="A529" s="14" t="n">
        <v>45992</v>
      </c>
      <c r="B529" s="6" t="s">
        <v>31</v>
      </c>
      <c r="C529" s="6" t="s">
        <v>65</v>
      </c>
      <c r="D529" s="0" t="str">
        <f aca="false">INDEX(Clientes!$B$4:$B$15,MATCH(B529,Clientes!$A$4:$A$15,0))</f>
        <v>Clínica Dental Sonrisa</v>
      </c>
      <c r="E529" s="0" t="str">
        <f aca="false">INDEX(Catalogo_Servicios!$C$4:$C$24,MATCH(C529,Catalogo_Servicios!$A$4:$A$24,0))</f>
        <v>Declaración mensual de IVA (D-104)</v>
      </c>
      <c r="F529" s="15" t="n">
        <v>0.75</v>
      </c>
      <c r="G529" s="16" t="n">
        <f aca="false">Parametros!$B$4</f>
        <v>28681</v>
      </c>
      <c r="H529" s="15" t="n">
        <f aca="false">INDEX(Clientes!$E$4:$E$15,MATCH(B529,Clientes!$A$4:$A$15,0))</f>
        <v>1.1</v>
      </c>
      <c r="I529" s="16" t="n">
        <f aca="false">ROUND(F529*G529*H529,0)</f>
        <v>23662</v>
      </c>
    </row>
    <row r="530" customFormat="false" ht="15" hidden="false" customHeight="false" outlineLevel="0" collapsed="false">
      <c r="A530" s="14" t="n">
        <v>45992</v>
      </c>
      <c r="B530" s="6" t="s">
        <v>31</v>
      </c>
      <c r="C530" s="6" t="s">
        <v>69</v>
      </c>
      <c r="D530" s="0" t="str">
        <f aca="false">INDEX(Clientes!$B$4:$B$15,MATCH(B530,Clientes!$A$4:$A$15,0))</f>
        <v>Clínica Dental Sonrisa</v>
      </c>
      <c r="E530" s="0" t="str">
        <f aca="false">INDEX(Catalogo_Servicios!$C$4:$C$24,MATCH(C530,Catalogo_Servicios!$A$4:$A$24,0))</f>
        <v>Declaración anual de renta (D-101 / D-105)</v>
      </c>
      <c r="F530" s="15" t="n">
        <v>1.75</v>
      </c>
      <c r="G530" s="16" t="n">
        <f aca="false">Parametros!$B$4</f>
        <v>28681</v>
      </c>
      <c r="H530" s="15" t="n">
        <f aca="false">INDEX(Clientes!$E$4:$E$15,MATCH(B530,Clientes!$A$4:$A$15,0))</f>
        <v>1.1</v>
      </c>
      <c r="I530" s="16" t="n">
        <f aca="false">ROUND(F530*G530*H530,0)</f>
        <v>55211</v>
      </c>
    </row>
    <row r="531" customFormat="false" ht="15" hidden="false" customHeight="false" outlineLevel="0" collapsed="false">
      <c r="A531" s="14" t="n">
        <v>45992</v>
      </c>
      <c r="B531" s="6" t="s">
        <v>32</v>
      </c>
      <c r="C531" s="6" t="s">
        <v>65</v>
      </c>
      <c r="D531" s="0" t="str">
        <f aca="false">INDEX(Clientes!$B$4:$B$15,MATCH(B531,Clientes!$A$4:$A$15,0))</f>
        <v>Soda y Restaurante Doña Lela</v>
      </c>
      <c r="E531" s="0" t="str">
        <f aca="false">INDEX(Catalogo_Servicios!$C$4:$C$24,MATCH(C531,Catalogo_Servicios!$A$4:$A$24,0))</f>
        <v>Declaración mensual de IVA (D-104)</v>
      </c>
      <c r="F531" s="15" t="n">
        <v>0.75</v>
      </c>
      <c r="G531" s="16" t="n">
        <f aca="false">Parametros!$B$4</f>
        <v>28681</v>
      </c>
      <c r="H531" s="15" t="n">
        <f aca="false">INDEX(Clientes!$E$4:$E$15,MATCH(B531,Clientes!$A$4:$A$15,0))</f>
        <v>1</v>
      </c>
      <c r="I531" s="16" t="n">
        <f aca="false">ROUND(F531*G531*H531,0)</f>
        <v>21511</v>
      </c>
    </row>
    <row r="532" customFormat="false" ht="15" hidden="false" customHeight="false" outlineLevel="0" collapsed="false">
      <c r="A532" s="14" t="n">
        <v>45992</v>
      </c>
      <c r="B532" s="6" t="s">
        <v>32</v>
      </c>
      <c r="C532" s="6" t="s">
        <v>69</v>
      </c>
      <c r="D532" s="0" t="str">
        <f aca="false">INDEX(Clientes!$B$4:$B$15,MATCH(B532,Clientes!$A$4:$A$15,0))</f>
        <v>Soda y Restaurante Doña Lela</v>
      </c>
      <c r="E532" s="0" t="str">
        <f aca="false">INDEX(Catalogo_Servicios!$C$4:$C$24,MATCH(C532,Catalogo_Servicios!$A$4:$A$24,0))</f>
        <v>Declaración anual de renta (D-101 / D-105)</v>
      </c>
      <c r="F532" s="15" t="n">
        <v>1.75</v>
      </c>
      <c r="G532" s="16" t="n">
        <f aca="false">Parametros!$B$4</f>
        <v>28681</v>
      </c>
      <c r="H532" s="15" t="n">
        <f aca="false">INDEX(Clientes!$E$4:$E$15,MATCH(B532,Clientes!$A$4:$A$15,0))</f>
        <v>1</v>
      </c>
      <c r="I532" s="16" t="n">
        <f aca="false">ROUND(F532*G532*H532,0)</f>
        <v>50192</v>
      </c>
    </row>
    <row r="533" customFormat="false" ht="15" hidden="false" customHeight="false" outlineLevel="0" collapsed="false">
      <c r="A533" s="14" t="n">
        <v>45992</v>
      </c>
      <c r="B533" s="6" t="s">
        <v>33</v>
      </c>
      <c r="C533" s="6" t="s">
        <v>65</v>
      </c>
      <c r="D533" s="0" t="str">
        <f aca="false">INDEX(Clientes!$B$4:$B$15,MATCH(B533,Clientes!$A$4:$A$15,0))</f>
        <v>Transportes Rápidos del Valle</v>
      </c>
      <c r="E533" s="0" t="str">
        <f aca="false">INDEX(Catalogo_Servicios!$C$4:$C$24,MATCH(C533,Catalogo_Servicios!$A$4:$A$24,0))</f>
        <v>Declaración mensual de IVA (D-104)</v>
      </c>
      <c r="F533" s="15" t="n">
        <v>1</v>
      </c>
      <c r="G533" s="16" t="n">
        <f aca="false">Parametros!$B$4</f>
        <v>28681</v>
      </c>
      <c r="H533" s="15" t="n">
        <f aca="false">INDEX(Clientes!$E$4:$E$15,MATCH(B533,Clientes!$A$4:$A$15,0))</f>
        <v>1</v>
      </c>
      <c r="I533" s="16" t="n">
        <f aca="false">ROUND(F533*G533*H533,0)</f>
        <v>28681</v>
      </c>
    </row>
    <row r="534" customFormat="false" ht="15" hidden="false" customHeight="false" outlineLevel="0" collapsed="false">
      <c r="A534" s="14" t="n">
        <v>45992</v>
      </c>
      <c r="B534" s="6" t="s">
        <v>33</v>
      </c>
      <c r="C534" s="6" t="s">
        <v>66</v>
      </c>
      <c r="D534" s="0" t="str">
        <f aca="false">INDEX(Clientes!$B$4:$B$15,MATCH(B534,Clientes!$A$4:$A$15,0))</f>
        <v>Transportes Rápidos del Valle</v>
      </c>
      <c r="E534" s="0" t="str">
        <f aca="false">INDEX(Catalogo_Servicios!$C$4:$C$24,MATCH(C534,Catalogo_Servicios!$A$4:$A$24,0))</f>
        <v>Declaración mensual de retenciones (D-103)</v>
      </c>
      <c r="F534" s="15" t="n">
        <v>0.25</v>
      </c>
      <c r="G534" s="16" t="n">
        <f aca="false">Parametros!$B$4</f>
        <v>28681</v>
      </c>
      <c r="H534" s="15" t="n">
        <f aca="false">INDEX(Clientes!$E$4:$E$15,MATCH(B534,Clientes!$A$4:$A$15,0))</f>
        <v>1</v>
      </c>
      <c r="I534" s="16" t="n">
        <f aca="false">ROUND(F534*G534*H534,0)</f>
        <v>7170</v>
      </c>
    </row>
    <row r="535" customFormat="false" ht="15" hidden="false" customHeight="false" outlineLevel="0" collapsed="false">
      <c r="A535" s="14" t="n">
        <v>45992</v>
      </c>
      <c r="B535" s="6" t="s">
        <v>33</v>
      </c>
      <c r="C535" s="6" t="s">
        <v>67</v>
      </c>
      <c r="D535" s="0" t="str">
        <f aca="false">INDEX(Clientes!$B$4:$B$15,MATCH(B535,Clientes!$A$4:$A$15,0))</f>
        <v>Transportes Rápidos del Valle</v>
      </c>
      <c r="E535" s="0" t="str">
        <f aca="false">INDEX(Catalogo_Servicios!$C$4:$C$24,MATCH(C535,Catalogo_Servicios!$A$4:$A$24,0))</f>
        <v>Cálculo de planillas y cargas sociales (CCSS/INS)</v>
      </c>
      <c r="F535" s="15" t="n">
        <v>6.5</v>
      </c>
      <c r="G535" s="16" t="n">
        <f aca="false">Parametros!$B$4</f>
        <v>28681</v>
      </c>
      <c r="H535" s="15" t="n">
        <f aca="false">INDEX(Clientes!$E$4:$E$15,MATCH(B535,Clientes!$A$4:$A$15,0))</f>
        <v>1</v>
      </c>
      <c r="I535" s="16" t="n">
        <f aca="false">ROUND(F535*G535*H535,0)</f>
        <v>186427</v>
      </c>
    </row>
    <row r="536" customFormat="false" ht="15" hidden="false" customHeight="false" outlineLevel="0" collapsed="false">
      <c r="A536" s="14" t="n">
        <v>45992</v>
      </c>
      <c r="B536" s="6" t="s">
        <v>33</v>
      </c>
      <c r="C536" s="6" t="s">
        <v>69</v>
      </c>
      <c r="D536" s="0" t="str">
        <f aca="false">INDEX(Clientes!$B$4:$B$15,MATCH(B536,Clientes!$A$4:$A$15,0))</f>
        <v>Transportes Rápidos del Valle</v>
      </c>
      <c r="E536" s="0" t="str">
        <f aca="false">INDEX(Catalogo_Servicios!$C$4:$C$24,MATCH(C536,Catalogo_Servicios!$A$4:$A$24,0))</f>
        <v>Declaración anual de renta (D-101 / D-105)</v>
      </c>
      <c r="F536" s="15" t="n">
        <v>1.5</v>
      </c>
      <c r="G536" s="16" t="n">
        <f aca="false">Parametros!$B$4</f>
        <v>28681</v>
      </c>
      <c r="H536" s="15" t="n">
        <f aca="false">INDEX(Clientes!$E$4:$E$15,MATCH(B536,Clientes!$A$4:$A$15,0))</f>
        <v>1</v>
      </c>
      <c r="I536" s="16" t="n">
        <f aca="false">ROUND(F536*G536*H536,0)</f>
        <v>43022</v>
      </c>
    </row>
    <row r="537" customFormat="false" ht="15" hidden="false" customHeight="false" outlineLevel="0" collapsed="false">
      <c r="A537" s="14" t="n">
        <v>45992</v>
      </c>
      <c r="B537" s="6" t="s">
        <v>35</v>
      </c>
      <c r="C537" s="6" t="s">
        <v>65</v>
      </c>
      <c r="D537" s="0" t="str">
        <f aca="false">INDEX(Clientes!$B$4:$B$15,MATCH(B537,Clientes!$A$4:$A$15,0))</f>
        <v>Taller Mecánico Hermanos Mora</v>
      </c>
      <c r="E537" s="0" t="str">
        <f aca="false">INDEX(Catalogo_Servicios!$C$4:$C$24,MATCH(C537,Catalogo_Servicios!$A$4:$A$24,0))</f>
        <v>Declaración mensual de IVA (D-104)</v>
      </c>
      <c r="F537" s="15" t="n">
        <v>0.75</v>
      </c>
      <c r="G537" s="16" t="n">
        <f aca="false">Parametros!$B$4</f>
        <v>28681</v>
      </c>
      <c r="H537" s="15" t="n">
        <f aca="false">INDEX(Clientes!$E$4:$E$15,MATCH(B537,Clientes!$A$4:$A$15,0))</f>
        <v>1</v>
      </c>
      <c r="I537" s="16" t="n">
        <f aca="false">ROUND(F537*G537*H537,0)</f>
        <v>21511</v>
      </c>
    </row>
    <row r="538" customFormat="false" ht="15" hidden="false" customHeight="false" outlineLevel="0" collapsed="false">
      <c r="A538" s="14" t="n">
        <v>45992</v>
      </c>
      <c r="B538" s="6" t="s">
        <v>36</v>
      </c>
      <c r="C538" s="6" t="s">
        <v>65</v>
      </c>
      <c r="D538" s="0" t="str">
        <f aca="false">INDEX(Clientes!$B$4:$B$15,MATCH(B538,Clientes!$A$4:$A$15,0))</f>
        <v>Agroservicios Cartago</v>
      </c>
      <c r="E538" s="0" t="str">
        <f aca="false">INDEX(Catalogo_Servicios!$C$4:$C$24,MATCH(C538,Catalogo_Servicios!$A$4:$A$24,0))</f>
        <v>Declaración mensual de IVA (D-104)</v>
      </c>
      <c r="F538" s="15" t="n">
        <v>0.75</v>
      </c>
      <c r="G538" s="16" t="n">
        <f aca="false">Parametros!$B$4</f>
        <v>28681</v>
      </c>
      <c r="H538" s="15" t="n">
        <f aca="false">INDEX(Clientes!$E$4:$E$15,MATCH(B538,Clientes!$A$4:$A$15,0))</f>
        <v>1</v>
      </c>
      <c r="I538" s="16" t="n">
        <f aca="false">ROUND(F538*G538*H538,0)</f>
        <v>21511</v>
      </c>
    </row>
    <row r="539" customFormat="false" ht="15" hidden="false" customHeight="false" outlineLevel="0" collapsed="false">
      <c r="A539" s="14" t="n">
        <v>45992</v>
      </c>
      <c r="B539" s="6" t="s">
        <v>36</v>
      </c>
      <c r="C539" s="6" t="s">
        <v>66</v>
      </c>
      <c r="D539" s="0" t="str">
        <f aca="false">INDEX(Clientes!$B$4:$B$15,MATCH(B539,Clientes!$A$4:$A$15,0))</f>
        <v>Agroservicios Cartago</v>
      </c>
      <c r="E539" s="0" t="str">
        <f aca="false">INDEX(Catalogo_Servicios!$C$4:$C$24,MATCH(C539,Catalogo_Servicios!$A$4:$A$24,0))</f>
        <v>Declaración mensual de retenciones (D-103)</v>
      </c>
      <c r="F539" s="15" t="n">
        <v>0.25</v>
      </c>
      <c r="G539" s="16" t="n">
        <f aca="false">Parametros!$B$4</f>
        <v>28681</v>
      </c>
      <c r="H539" s="15" t="n">
        <f aca="false">INDEX(Clientes!$E$4:$E$15,MATCH(B539,Clientes!$A$4:$A$15,0))</f>
        <v>1</v>
      </c>
      <c r="I539" s="16" t="n">
        <f aca="false">ROUND(F539*G539*H539,0)</f>
        <v>7170</v>
      </c>
    </row>
    <row r="540" customFormat="false" ht="15" hidden="false" customHeight="false" outlineLevel="0" collapsed="false">
      <c r="A540" s="14" t="n">
        <v>45992</v>
      </c>
      <c r="B540" s="6" t="s">
        <v>36</v>
      </c>
      <c r="C540" s="6" t="s">
        <v>74</v>
      </c>
      <c r="D540" s="0" t="str">
        <f aca="false">INDEX(Clientes!$B$4:$B$15,MATCH(B540,Clientes!$A$4:$A$15,0))</f>
        <v>Agroservicios Cartago</v>
      </c>
      <c r="E540" s="0" t="str">
        <f aca="false">INDEX(Catalogo_Servicios!$C$4:$C$24,MATCH(C540,Catalogo_Servicios!$A$4:$A$24,0))</f>
        <v>Certificación de ingresos y estudios generales</v>
      </c>
      <c r="F540" s="15" t="n">
        <v>3</v>
      </c>
      <c r="G540" s="16" t="n">
        <f aca="false">Parametros!$B$4</f>
        <v>28681</v>
      </c>
      <c r="H540" s="15" t="n">
        <f aca="false">INDEX(Clientes!$E$4:$E$15,MATCH(B540,Clientes!$A$4:$A$15,0))</f>
        <v>1</v>
      </c>
      <c r="I540" s="16" t="n">
        <f aca="false">ROUND(F540*G540*H540,0)</f>
        <v>86043</v>
      </c>
    </row>
    <row r="541" customFormat="false" ht="15" hidden="false" customHeight="false" outlineLevel="0" collapsed="false">
      <c r="A541" s="14" t="n">
        <v>45992</v>
      </c>
      <c r="B541" s="6" t="s">
        <v>38</v>
      </c>
      <c r="C541" s="6" t="s">
        <v>65</v>
      </c>
      <c r="D541" s="0" t="str">
        <f aca="false">INDEX(Clientes!$B$4:$B$15,MATCH(B541,Clientes!$A$4:$A$15,0))</f>
        <v>Panadería La Espiga</v>
      </c>
      <c r="E541" s="0" t="str">
        <f aca="false">INDEX(Catalogo_Servicios!$C$4:$C$24,MATCH(C541,Catalogo_Servicios!$A$4:$A$24,0))</f>
        <v>Declaración mensual de IVA (D-104)</v>
      </c>
      <c r="F541" s="15" t="n">
        <v>0.75</v>
      </c>
      <c r="G541" s="16" t="n">
        <f aca="false">Parametros!$B$4</f>
        <v>28681</v>
      </c>
      <c r="H541" s="15" t="n">
        <f aca="false">INDEX(Clientes!$E$4:$E$15,MATCH(B541,Clientes!$A$4:$A$15,0))</f>
        <v>1</v>
      </c>
      <c r="I541" s="16" t="n">
        <f aca="false">ROUND(F541*G541*H541,0)</f>
        <v>21511</v>
      </c>
    </row>
    <row r="542" customFormat="false" ht="15" hidden="false" customHeight="false" outlineLevel="0" collapsed="false">
      <c r="A542" s="14" t="n">
        <v>45992</v>
      </c>
      <c r="B542" s="6" t="s">
        <v>38</v>
      </c>
      <c r="C542" s="6" t="s">
        <v>67</v>
      </c>
      <c r="D542" s="0" t="str">
        <f aca="false">INDEX(Clientes!$B$4:$B$15,MATCH(B542,Clientes!$A$4:$A$15,0))</f>
        <v>Panadería La Espiga</v>
      </c>
      <c r="E542" s="0" t="str">
        <f aca="false">INDEX(Catalogo_Servicios!$C$4:$C$24,MATCH(C542,Catalogo_Servicios!$A$4:$A$24,0))</f>
        <v>Cálculo de planillas y cargas sociales (CCSS/INS)</v>
      </c>
      <c r="F542" s="15" t="n">
        <v>6.5</v>
      </c>
      <c r="G542" s="16" t="n">
        <f aca="false">Parametros!$B$4</f>
        <v>28681</v>
      </c>
      <c r="H542" s="15" t="n">
        <f aca="false">INDEX(Clientes!$E$4:$E$15,MATCH(B542,Clientes!$A$4:$A$15,0))</f>
        <v>1</v>
      </c>
      <c r="I542" s="16" t="n">
        <f aca="false">ROUND(F542*G542*H542,0)</f>
        <v>186427</v>
      </c>
    </row>
    <row r="543" customFormat="false" ht="15" hidden="false" customHeight="false" outlineLevel="0" collapsed="false">
      <c r="A543" s="14" t="n">
        <v>45992</v>
      </c>
      <c r="B543" s="6" t="s">
        <v>38</v>
      </c>
      <c r="C543" s="6" t="s">
        <v>69</v>
      </c>
      <c r="D543" s="0" t="str">
        <f aca="false">INDEX(Clientes!$B$4:$B$15,MATCH(B543,Clientes!$A$4:$A$15,0))</f>
        <v>Panadería La Espiga</v>
      </c>
      <c r="E543" s="0" t="str">
        <f aca="false">INDEX(Catalogo_Servicios!$C$4:$C$24,MATCH(C543,Catalogo_Servicios!$A$4:$A$24,0))</f>
        <v>Declaración anual de renta (D-101 / D-105)</v>
      </c>
      <c r="F543" s="15" t="n">
        <v>1.75</v>
      </c>
      <c r="G543" s="16" t="n">
        <f aca="false">Parametros!$B$4</f>
        <v>28681</v>
      </c>
      <c r="H543" s="15" t="n">
        <f aca="false">INDEX(Clientes!$E$4:$E$15,MATCH(B543,Clientes!$A$4:$A$15,0))</f>
        <v>1</v>
      </c>
      <c r="I543" s="16" t="n">
        <f aca="false">ROUND(F543*G543*H543,0)</f>
        <v>50192</v>
      </c>
    </row>
    <row r="544" customFormat="false" ht="15" hidden="false" customHeight="false" outlineLevel="0" collapsed="false">
      <c r="A544" s="14" t="n">
        <v>46023</v>
      </c>
      <c r="B544" s="6" t="s">
        <v>29</v>
      </c>
      <c r="C544" s="6" t="s">
        <v>64</v>
      </c>
      <c r="D544" s="0" t="str">
        <f aca="false">INDEX(Clientes!$B$4:$B$15,MATCH(B544,Clientes!$A$4:$A$15,0))</f>
        <v>Distribuidora Los Andes S.A.</v>
      </c>
      <c r="E544" s="0" t="str">
        <f aca="false">INDEX(Catalogo_Servicios!$C$4:$C$24,MATCH(C544,Catalogo_Servicios!$A$4:$A$24,0))</f>
        <v>Estados financieros mensuales</v>
      </c>
      <c r="F544" s="15" t="n">
        <v>3</v>
      </c>
      <c r="G544" s="16" t="n">
        <f aca="false">Parametros!$B$4</f>
        <v>28681</v>
      </c>
      <c r="H544" s="15" t="n">
        <f aca="false">INDEX(Clientes!$E$4:$E$15,MATCH(B544,Clientes!$A$4:$A$15,0))</f>
        <v>1</v>
      </c>
      <c r="I544" s="16" t="n">
        <f aca="false">ROUND(F544*G544*H544,0)</f>
        <v>86043</v>
      </c>
    </row>
    <row r="545" customFormat="false" ht="15" hidden="false" customHeight="false" outlineLevel="0" collapsed="false">
      <c r="A545" s="14" t="n">
        <v>46023</v>
      </c>
      <c r="B545" s="6" t="s">
        <v>29</v>
      </c>
      <c r="C545" s="6" t="s">
        <v>65</v>
      </c>
      <c r="D545" s="0" t="str">
        <f aca="false">INDEX(Clientes!$B$4:$B$15,MATCH(B545,Clientes!$A$4:$A$15,0))</f>
        <v>Distribuidora Los Andes S.A.</v>
      </c>
      <c r="E545" s="0" t="str">
        <f aca="false">INDEX(Catalogo_Servicios!$C$4:$C$24,MATCH(C545,Catalogo_Servicios!$A$4:$A$24,0))</f>
        <v>Declaración mensual de IVA (D-104)</v>
      </c>
      <c r="F545" s="15" t="n">
        <v>0.75</v>
      </c>
      <c r="G545" s="16" t="n">
        <f aca="false">Parametros!$B$4</f>
        <v>28681</v>
      </c>
      <c r="H545" s="15" t="n">
        <f aca="false">INDEX(Clientes!$E$4:$E$15,MATCH(B545,Clientes!$A$4:$A$15,0))</f>
        <v>1</v>
      </c>
      <c r="I545" s="16" t="n">
        <f aca="false">ROUND(F545*G545*H545,0)</f>
        <v>21511</v>
      </c>
    </row>
    <row r="546" customFormat="false" ht="15" hidden="false" customHeight="false" outlineLevel="0" collapsed="false">
      <c r="A546" s="14" t="n">
        <v>46023</v>
      </c>
      <c r="B546" s="6" t="s">
        <v>29</v>
      </c>
      <c r="C546" s="6" t="s">
        <v>66</v>
      </c>
      <c r="D546" s="0" t="str">
        <f aca="false">INDEX(Clientes!$B$4:$B$15,MATCH(B546,Clientes!$A$4:$A$15,0))</f>
        <v>Distribuidora Los Andes S.A.</v>
      </c>
      <c r="E546" s="0" t="str">
        <f aca="false">INDEX(Catalogo_Servicios!$C$4:$C$24,MATCH(C546,Catalogo_Servicios!$A$4:$A$24,0))</f>
        <v>Declaración mensual de retenciones (D-103)</v>
      </c>
      <c r="F546" s="15" t="n">
        <v>0.25</v>
      </c>
      <c r="G546" s="16" t="n">
        <f aca="false">Parametros!$B$4</f>
        <v>28681</v>
      </c>
      <c r="H546" s="15" t="n">
        <f aca="false">INDEX(Clientes!$E$4:$E$15,MATCH(B546,Clientes!$A$4:$A$15,0))</f>
        <v>1</v>
      </c>
      <c r="I546" s="16" t="n">
        <f aca="false">ROUND(F546*G546*H546,0)</f>
        <v>7170</v>
      </c>
    </row>
    <row r="547" customFormat="false" ht="15" hidden="false" customHeight="false" outlineLevel="0" collapsed="false">
      <c r="A547" s="14" t="n">
        <v>46023</v>
      </c>
      <c r="B547" s="6" t="s">
        <v>29</v>
      </c>
      <c r="C547" s="6" t="s">
        <v>67</v>
      </c>
      <c r="D547" s="0" t="str">
        <f aca="false">INDEX(Clientes!$B$4:$B$15,MATCH(B547,Clientes!$A$4:$A$15,0))</f>
        <v>Distribuidora Los Andes S.A.</v>
      </c>
      <c r="E547" s="0" t="str">
        <f aca="false">INDEX(Catalogo_Servicios!$C$4:$C$24,MATCH(C547,Catalogo_Servicios!$A$4:$A$24,0))</f>
        <v>Cálculo de planillas y cargas sociales (CCSS/INS)</v>
      </c>
      <c r="F547" s="15" t="n">
        <v>22.5</v>
      </c>
      <c r="G547" s="16" t="n">
        <f aca="false">Parametros!$B$4</f>
        <v>28681</v>
      </c>
      <c r="H547" s="15" t="n">
        <f aca="false">INDEX(Clientes!$E$4:$E$15,MATCH(B547,Clientes!$A$4:$A$15,0))</f>
        <v>1</v>
      </c>
      <c r="I547" s="16" t="n">
        <f aca="false">ROUND(F547*G547*H547,0)</f>
        <v>645323</v>
      </c>
    </row>
    <row r="548" customFormat="false" ht="15" hidden="false" customHeight="false" outlineLevel="0" collapsed="false">
      <c r="A548" s="14" t="n">
        <v>46023</v>
      </c>
      <c r="B548" s="6" t="s">
        <v>29</v>
      </c>
      <c r="C548" s="6" t="s">
        <v>71</v>
      </c>
      <c r="D548" s="0" t="str">
        <f aca="false">INDEX(Clientes!$B$4:$B$15,MATCH(B548,Clientes!$A$4:$A$15,0))</f>
        <v>Distribuidora Los Andes S.A.</v>
      </c>
      <c r="E548" s="0" t="str">
        <f aca="false">INDEX(Catalogo_Servicios!$C$4:$C$24,MATCH(C548,Catalogo_Servicios!$A$4:$A$24,0))</f>
        <v>Conciliación anual de planillas (INS/CCSS)</v>
      </c>
      <c r="F548" s="15" t="n">
        <v>2</v>
      </c>
      <c r="G548" s="16" t="n">
        <f aca="false">Parametros!$B$4</f>
        <v>28681</v>
      </c>
      <c r="H548" s="15" t="n">
        <f aca="false">INDEX(Clientes!$E$4:$E$15,MATCH(B548,Clientes!$A$4:$A$15,0))</f>
        <v>1</v>
      </c>
      <c r="I548" s="16" t="n">
        <f aca="false">ROUND(F548*G548*H548,0)</f>
        <v>57362</v>
      </c>
    </row>
    <row r="549" customFormat="false" ht="15" hidden="false" customHeight="false" outlineLevel="0" collapsed="false">
      <c r="A549" s="14" t="n">
        <v>46023</v>
      </c>
      <c r="B549" s="6" t="s">
        <v>30</v>
      </c>
      <c r="C549" s="6" t="s">
        <v>64</v>
      </c>
      <c r="D549" s="0" t="str">
        <f aca="false">INDEX(Clientes!$B$4:$B$15,MATCH(B549,Clientes!$A$4:$A$15,0))</f>
        <v>Ferretería El Tornillo</v>
      </c>
      <c r="E549" s="0" t="str">
        <f aca="false">INDEX(Catalogo_Servicios!$C$4:$C$24,MATCH(C549,Catalogo_Servicios!$A$4:$A$24,0))</f>
        <v>Estados financieros mensuales</v>
      </c>
      <c r="F549" s="15" t="n">
        <v>3</v>
      </c>
      <c r="G549" s="16" t="n">
        <f aca="false">Parametros!$B$4</f>
        <v>28681</v>
      </c>
      <c r="H549" s="15" t="n">
        <f aca="false">INDEX(Clientes!$E$4:$E$15,MATCH(B549,Clientes!$A$4:$A$15,0))</f>
        <v>1</v>
      </c>
      <c r="I549" s="16" t="n">
        <f aca="false">ROUND(F549*G549*H549,0)</f>
        <v>86043</v>
      </c>
    </row>
    <row r="550" customFormat="false" ht="15" hidden="false" customHeight="false" outlineLevel="0" collapsed="false">
      <c r="A550" s="14" t="n">
        <v>46023</v>
      </c>
      <c r="B550" s="6" t="s">
        <v>30</v>
      </c>
      <c r="C550" s="6" t="s">
        <v>65</v>
      </c>
      <c r="D550" s="0" t="str">
        <f aca="false">INDEX(Clientes!$B$4:$B$15,MATCH(B550,Clientes!$A$4:$A$15,0))</f>
        <v>Ferretería El Tornillo</v>
      </c>
      <c r="E550" s="0" t="str">
        <f aca="false">INDEX(Catalogo_Servicios!$C$4:$C$24,MATCH(C550,Catalogo_Servicios!$A$4:$A$24,0))</f>
        <v>Declaración mensual de IVA (D-104)</v>
      </c>
      <c r="F550" s="15" t="n">
        <v>0.75</v>
      </c>
      <c r="G550" s="16" t="n">
        <f aca="false">Parametros!$B$4</f>
        <v>28681</v>
      </c>
      <c r="H550" s="15" t="n">
        <f aca="false">INDEX(Clientes!$E$4:$E$15,MATCH(B550,Clientes!$A$4:$A$15,0))</f>
        <v>1</v>
      </c>
      <c r="I550" s="16" t="n">
        <f aca="false">ROUND(F550*G550*H550,0)</f>
        <v>21511</v>
      </c>
    </row>
    <row r="551" customFormat="false" ht="15" hidden="false" customHeight="false" outlineLevel="0" collapsed="false">
      <c r="A551" s="14" t="n">
        <v>46023</v>
      </c>
      <c r="B551" s="6" t="s">
        <v>30</v>
      </c>
      <c r="C551" s="6" t="s">
        <v>66</v>
      </c>
      <c r="D551" s="0" t="str">
        <f aca="false">INDEX(Clientes!$B$4:$B$15,MATCH(B551,Clientes!$A$4:$A$15,0))</f>
        <v>Ferretería El Tornillo</v>
      </c>
      <c r="E551" s="0" t="str">
        <f aca="false">INDEX(Catalogo_Servicios!$C$4:$C$24,MATCH(C551,Catalogo_Servicios!$A$4:$A$24,0))</f>
        <v>Declaración mensual de retenciones (D-103)</v>
      </c>
      <c r="F551" s="15" t="n">
        <v>0.25</v>
      </c>
      <c r="G551" s="16" t="n">
        <f aca="false">Parametros!$B$4</f>
        <v>28681</v>
      </c>
      <c r="H551" s="15" t="n">
        <f aca="false">INDEX(Clientes!$E$4:$E$15,MATCH(B551,Clientes!$A$4:$A$15,0))</f>
        <v>1</v>
      </c>
      <c r="I551" s="16" t="n">
        <f aca="false">ROUND(F551*G551*H551,0)</f>
        <v>7170</v>
      </c>
    </row>
    <row r="552" customFormat="false" ht="15" hidden="false" customHeight="false" outlineLevel="0" collapsed="false">
      <c r="A552" s="14" t="n">
        <v>46023</v>
      </c>
      <c r="B552" s="6" t="s">
        <v>31</v>
      </c>
      <c r="C552" s="6" t="s">
        <v>65</v>
      </c>
      <c r="D552" s="0" t="str">
        <f aca="false">INDEX(Clientes!$B$4:$B$15,MATCH(B552,Clientes!$A$4:$A$15,0))</f>
        <v>Clínica Dental Sonrisa</v>
      </c>
      <c r="E552" s="0" t="str">
        <f aca="false">INDEX(Catalogo_Servicios!$C$4:$C$24,MATCH(C552,Catalogo_Servicios!$A$4:$A$24,0))</f>
        <v>Declaración mensual de IVA (D-104)</v>
      </c>
      <c r="F552" s="15" t="n">
        <v>1</v>
      </c>
      <c r="G552" s="16" t="n">
        <f aca="false">Parametros!$B$4</f>
        <v>28681</v>
      </c>
      <c r="H552" s="15" t="n">
        <f aca="false">INDEX(Clientes!$E$4:$E$15,MATCH(B552,Clientes!$A$4:$A$15,0))</f>
        <v>1.1</v>
      </c>
      <c r="I552" s="16" t="n">
        <f aca="false">ROUND(F552*G552*H552,0)</f>
        <v>31549</v>
      </c>
    </row>
    <row r="553" customFormat="false" ht="15" hidden="false" customHeight="false" outlineLevel="0" collapsed="false">
      <c r="A553" s="14" t="n">
        <v>46023</v>
      </c>
      <c r="B553" s="6" t="s">
        <v>32</v>
      </c>
      <c r="C553" s="6" t="s">
        <v>65</v>
      </c>
      <c r="D553" s="0" t="str">
        <f aca="false">INDEX(Clientes!$B$4:$B$15,MATCH(B553,Clientes!$A$4:$A$15,0))</f>
        <v>Soda y Restaurante Doña Lela</v>
      </c>
      <c r="E553" s="0" t="str">
        <f aca="false">INDEX(Catalogo_Servicios!$C$4:$C$24,MATCH(C553,Catalogo_Servicios!$A$4:$A$24,0))</f>
        <v>Declaración mensual de IVA (D-104)</v>
      </c>
      <c r="F553" s="15" t="n">
        <v>0.75</v>
      </c>
      <c r="G553" s="16" t="n">
        <f aca="false">Parametros!$B$4</f>
        <v>28681</v>
      </c>
      <c r="H553" s="15" t="n">
        <f aca="false">INDEX(Clientes!$E$4:$E$15,MATCH(B553,Clientes!$A$4:$A$15,0))</f>
        <v>1</v>
      </c>
      <c r="I553" s="16" t="n">
        <f aca="false">ROUND(F553*G553*H553,0)</f>
        <v>21511</v>
      </c>
    </row>
    <row r="554" customFormat="false" ht="15" hidden="false" customHeight="false" outlineLevel="0" collapsed="false">
      <c r="A554" s="14" t="n">
        <v>46023</v>
      </c>
      <c r="B554" s="6" t="s">
        <v>33</v>
      </c>
      <c r="C554" s="6" t="s">
        <v>65</v>
      </c>
      <c r="D554" s="0" t="str">
        <f aca="false">INDEX(Clientes!$B$4:$B$15,MATCH(B554,Clientes!$A$4:$A$15,0))</f>
        <v>Transportes Rápidos del Valle</v>
      </c>
      <c r="E554" s="0" t="str">
        <f aca="false">INDEX(Catalogo_Servicios!$C$4:$C$24,MATCH(C554,Catalogo_Servicios!$A$4:$A$24,0))</f>
        <v>Declaración mensual de IVA (D-104)</v>
      </c>
      <c r="F554" s="15" t="n">
        <v>1</v>
      </c>
      <c r="G554" s="16" t="n">
        <f aca="false">Parametros!$B$4</f>
        <v>28681</v>
      </c>
      <c r="H554" s="15" t="n">
        <f aca="false">INDEX(Clientes!$E$4:$E$15,MATCH(B554,Clientes!$A$4:$A$15,0))</f>
        <v>1</v>
      </c>
      <c r="I554" s="16" t="n">
        <f aca="false">ROUND(F554*G554*H554,0)</f>
        <v>28681</v>
      </c>
    </row>
    <row r="555" customFormat="false" ht="15" hidden="false" customHeight="false" outlineLevel="0" collapsed="false">
      <c r="A555" s="14" t="n">
        <v>46023</v>
      </c>
      <c r="B555" s="6" t="s">
        <v>33</v>
      </c>
      <c r="C555" s="6" t="s">
        <v>66</v>
      </c>
      <c r="D555" s="0" t="str">
        <f aca="false">INDEX(Clientes!$B$4:$B$15,MATCH(B555,Clientes!$A$4:$A$15,0))</f>
        <v>Transportes Rápidos del Valle</v>
      </c>
      <c r="E555" s="0" t="str">
        <f aca="false">INDEX(Catalogo_Servicios!$C$4:$C$24,MATCH(C555,Catalogo_Servicios!$A$4:$A$24,0))</f>
        <v>Declaración mensual de retenciones (D-103)</v>
      </c>
      <c r="F555" s="15" t="n">
        <v>0.25</v>
      </c>
      <c r="G555" s="16" t="n">
        <f aca="false">Parametros!$B$4</f>
        <v>28681</v>
      </c>
      <c r="H555" s="15" t="n">
        <f aca="false">INDEX(Clientes!$E$4:$E$15,MATCH(B555,Clientes!$A$4:$A$15,0))</f>
        <v>1</v>
      </c>
      <c r="I555" s="16" t="n">
        <f aca="false">ROUND(F555*G555*H555,0)</f>
        <v>7170</v>
      </c>
    </row>
    <row r="556" customFormat="false" ht="15" hidden="false" customHeight="false" outlineLevel="0" collapsed="false">
      <c r="A556" s="14" t="n">
        <v>46023</v>
      </c>
      <c r="B556" s="6" t="s">
        <v>33</v>
      </c>
      <c r="C556" s="6" t="s">
        <v>67</v>
      </c>
      <c r="D556" s="0" t="str">
        <f aca="false">INDEX(Clientes!$B$4:$B$15,MATCH(B556,Clientes!$A$4:$A$15,0))</f>
        <v>Transportes Rápidos del Valle</v>
      </c>
      <c r="E556" s="0" t="str">
        <f aca="false">INDEX(Catalogo_Servicios!$C$4:$C$24,MATCH(C556,Catalogo_Servicios!$A$4:$A$24,0))</f>
        <v>Cálculo de planillas y cargas sociales (CCSS/INS)</v>
      </c>
      <c r="F556" s="15" t="n">
        <v>6</v>
      </c>
      <c r="G556" s="16" t="n">
        <f aca="false">Parametros!$B$4</f>
        <v>28681</v>
      </c>
      <c r="H556" s="15" t="n">
        <f aca="false">INDEX(Clientes!$E$4:$E$15,MATCH(B556,Clientes!$A$4:$A$15,0))</f>
        <v>1</v>
      </c>
      <c r="I556" s="16" t="n">
        <f aca="false">ROUND(F556*G556*H556,0)</f>
        <v>172086</v>
      </c>
    </row>
    <row r="557" customFormat="false" ht="15" hidden="false" customHeight="false" outlineLevel="0" collapsed="false">
      <c r="A557" s="14" t="n">
        <v>46023</v>
      </c>
      <c r="B557" s="6" t="s">
        <v>33</v>
      </c>
      <c r="C557" s="6" t="s">
        <v>70</v>
      </c>
      <c r="D557" s="0" t="str">
        <f aca="false">INDEX(Clientes!$B$4:$B$15,MATCH(B557,Clientes!$A$4:$A$15,0))</f>
        <v>Transportes Rápidos del Valle</v>
      </c>
      <c r="E557" s="0" t="str">
        <f aca="false">INDEX(Catalogo_Servicios!$C$4:$C$24,MATCH(C557,Catalogo_Servicios!$A$4:$A$24,0))</f>
        <v>Estados financieros anuales / cierre fiscal</v>
      </c>
      <c r="F557" s="15" t="n">
        <v>6</v>
      </c>
      <c r="G557" s="16" t="n">
        <f aca="false">Parametros!$B$4</f>
        <v>28681</v>
      </c>
      <c r="H557" s="15" t="n">
        <f aca="false">INDEX(Clientes!$E$4:$E$15,MATCH(B557,Clientes!$A$4:$A$15,0))</f>
        <v>1</v>
      </c>
      <c r="I557" s="16" t="n">
        <f aca="false">ROUND(F557*G557*H557,0)</f>
        <v>172086</v>
      </c>
    </row>
    <row r="558" customFormat="false" ht="15" hidden="false" customHeight="false" outlineLevel="0" collapsed="false">
      <c r="A558" s="14" t="n">
        <v>46023</v>
      </c>
      <c r="B558" s="6" t="s">
        <v>33</v>
      </c>
      <c r="C558" s="6" t="s">
        <v>71</v>
      </c>
      <c r="D558" s="0" t="str">
        <f aca="false">INDEX(Clientes!$B$4:$B$15,MATCH(B558,Clientes!$A$4:$A$15,0))</f>
        <v>Transportes Rápidos del Valle</v>
      </c>
      <c r="E558" s="0" t="str">
        <f aca="false">INDEX(Catalogo_Servicios!$C$4:$C$24,MATCH(C558,Catalogo_Servicios!$A$4:$A$24,0))</f>
        <v>Conciliación anual de planillas (INS/CCSS)</v>
      </c>
      <c r="F558" s="15" t="n">
        <v>2</v>
      </c>
      <c r="G558" s="16" t="n">
        <f aca="false">Parametros!$B$4</f>
        <v>28681</v>
      </c>
      <c r="H558" s="15" t="n">
        <f aca="false">INDEX(Clientes!$E$4:$E$15,MATCH(B558,Clientes!$A$4:$A$15,0))</f>
        <v>1</v>
      </c>
      <c r="I558" s="16" t="n">
        <f aca="false">ROUND(F558*G558*H558,0)</f>
        <v>57362</v>
      </c>
    </row>
    <row r="559" customFormat="false" ht="15" hidden="false" customHeight="false" outlineLevel="0" collapsed="false">
      <c r="A559" s="14" t="n">
        <v>46023</v>
      </c>
      <c r="B559" s="6" t="s">
        <v>35</v>
      </c>
      <c r="C559" s="6" t="s">
        <v>65</v>
      </c>
      <c r="D559" s="0" t="str">
        <f aca="false">INDEX(Clientes!$B$4:$B$15,MATCH(B559,Clientes!$A$4:$A$15,0))</f>
        <v>Taller Mecánico Hermanos Mora</v>
      </c>
      <c r="E559" s="0" t="str">
        <f aca="false">INDEX(Catalogo_Servicios!$C$4:$C$24,MATCH(C559,Catalogo_Servicios!$A$4:$A$24,0))</f>
        <v>Declaración mensual de IVA (D-104)</v>
      </c>
      <c r="F559" s="15" t="n">
        <v>0.75</v>
      </c>
      <c r="G559" s="16" t="n">
        <f aca="false">Parametros!$B$4</f>
        <v>28681</v>
      </c>
      <c r="H559" s="15" t="n">
        <f aca="false">INDEX(Clientes!$E$4:$E$15,MATCH(B559,Clientes!$A$4:$A$15,0))</f>
        <v>1</v>
      </c>
      <c r="I559" s="16" t="n">
        <f aca="false">ROUND(F559*G559*H559,0)</f>
        <v>21511</v>
      </c>
    </row>
    <row r="560" customFormat="false" ht="15" hidden="false" customHeight="false" outlineLevel="0" collapsed="false">
      <c r="A560" s="14" t="n">
        <v>46023</v>
      </c>
      <c r="B560" s="6" t="s">
        <v>36</v>
      </c>
      <c r="C560" s="6" t="s">
        <v>65</v>
      </c>
      <c r="D560" s="0" t="str">
        <f aca="false">INDEX(Clientes!$B$4:$B$15,MATCH(B560,Clientes!$A$4:$A$15,0))</f>
        <v>Agroservicios Cartago</v>
      </c>
      <c r="E560" s="0" t="str">
        <f aca="false">INDEX(Catalogo_Servicios!$C$4:$C$24,MATCH(C560,Catalogo_Servicios!$A$4:$A$24,0))</f>
        <v>Declaración mensual de IVA (D-104)</v>
      </c>
      <c r="F560" s="15" t="n">
        <v>1</v>
      </c>
      <c r="G560" s="16" t="n">
        <f aca="false">Parametros!$B$4</f>
        <v>28681</v>
      </c>
      <c r="H560" s="15" t="n">
        <f aca="false">INDEX(Clientes!$E$4:$E$15,MATCH(B560,Clientes!$A$4:$A$15,0))</f>
        <v>1</v>
      </c>
      <c r="I560" s="16" t="n">
        <f aca="false">ROUND(F560*G560*H560,0)</f>
        <v>28681</v>
      </c>
    </row>
    <row r="561" customFormat="false" ht="15" hidden="false" customHeight="false" outlineLevel="0" collapsed="false">
      <c r="A561" s="14" t="n">
        <v>46023</v>
      </c>
      <c r="B561" s="6" t="s">
        <v>36</v>
      </c>
      <c r="C561" s="6" t="s">
        <v>66</v>
      </c>
      <c r="D561" s="0" t="str">
        <f aca="false">INDEX(Clientes!$B$4:$B$15,MATCH(B561,Clientes!$A$4:$A$15,0))</f>
        <v>Agroservicios Cartago</v>
      </c>
      <c r="E561" s="0" t="str">
        <f aca="false">INDEX(Catalogo_Servicios!$C$4:$C$24,MATCH(C561,Catalogo_Servicios!$A$4:$A$24,0))</f>
        <v>Declaración mensual de retenciones (D-103)</v>
      </c>
      <c r="F561" s="15" t="n">
        <v>0.25</v>
      </c>
      <c r="G561" s="16" t="n">
        <f aca="false">Parametros!$B$4</f>
        <v>28681</v>
      </c>
      <c r="H561" s="15" t="n">
        <f aca="false">INDEX(Clientes!$E$4:$E$15,MATCH(B561,Clientes!$A$4:$A$15,0))</f>
        <v>1</v>
      </c>
      <c r="I561" s="16" t="n">
        <f aca="false">ROUND(F561*G561*H561,0)</f>
        <v>7170</v>
      </c>
    </row>
    <row r="562" customFormat="false" ht="15" hidden="false" customHeight="false" outlineLevel="0" collapsed="false">
      <c r="A562" s="14" t="n">
        <v>46023</v>
      </c>
      <c r="B562" s="6" t="s">
        <v>38</v>
      </c>
      <c r="C562" s="6" t="s">
        <v>65</v>
      </c>
      <c r="D562" s="0" t="str">
        <f aca="false">INDEX(Clientes!$B$4:$B$15,MATCH(B562,Clientes!$A$4:$A$15,0))</f>
        <v>Panadería La Espiga</v>
      </c>
      <c r="E562" s="0" t="str">
        <f aca="false">INDEX(Catalogo_Servicios!$C$4:$C$24,MATCH(C562,Catalogo_Servicios!$A$4:$A$24,0))</f>
        <v>Declaración mensual de IVA (D-104)</v>
      </c>
      <c r="F562" s="15" t="n">
        <v>1</v>
      </c>
      <c r="G562" s="16" t="n">
        <f aca="false">Parametros!$B$4</f>
        <v>28681</v>
      </c>
      <c r="H562" s="15" t="n">
        <f aca="false">INDEX(Clientes!$E$4:$E$15,MATCH(B562,Clientes!$A$4:$A$15,0))</f>
        <v>1</v>
      </c>
      <c r="I562" s="16" t="n">
        <f aca="false">ROUND(F562*G562*H562,0)</f>
        <v>28681</v>
      </c>
    </row>
    <row r="563" customFormat="false" ht="15" hidden="false" customHeight="false" outlineLevel="0" collapsed="false">
      <c r="A563" s="14" t="n">
        <v>46023</v>
      </c>
      <c r="B563" s="6" t="s">
        <v>38</v>
      </c>
      <c r="C563" s="6" t="s">
        <v>67</v>
      </c>
      <c r="D563" s="0" t="str">
        <f aca="false">INDEX(Clientes!$B$4:$B$15,MATCH(B563,Clientes!$A$4:$A$15,0))</f>
        <v>Panadería La Espiga</v>
      </c>
      <c r="E563" s="0" t="str">
        <f aca="false">INDEX(Catalogo_Servicios!$C$4:$C$24,MATCH(C563,Catalogo_Servicios!$A$4:$A$24,0))</f>
        <v>Cálculo de planillas y cargas sociales (CCSS/INS)</v>
      </c>
      <c r="F563" s="15" t="n">
        <v>6.5</v>
      </c>
      <c r="G563" s="16" t="n">
        <f aca="false">Parametros!$B$4</f>
        <v>28681</v>
      </c>
      <c r="H563" s="15" t="n">
        <f aca="false">INDEX(Clientes!$E$4:$E$15,MATCH(B563,Clientes!$A$4:$A$15,0))</f>
        <v>1</v>
      </c>
      <c r="I563" s="16" t="n">
        <f aca="false">ROUND(F563*G563*H563,0)</f>
        <v>186427</v>
      </c>
    </row>
    <row r="564" customFormat="false" ht="15" hidden="false" customHeight="false" outlineLevel="0" collapsed="false">
      <c r="A564" s="14" t="n">
        <v>46023</v>
      </c>
      <c r="B564" s="6" t="s">
        <v>38</v>
      </c>
      <c r="C564" s="6" t="s">
        <v>71</v>
      </c>
      <c r="D564" s="0" t="str">
        <f aca="false">INDEX(Clientes!$B$4:$B$15,MATCH(B564,Clientes!$A$4:$A$15,0))</f>
        <v>Panadería La Espiga</v>
      </c>
      <c r="E564" s="0" t="str">
        <f aca="false">INDEX(Catalogo_Servicios!$C$4:$C$24,MATCH(C564,Catalogo_Servicios!$A$4:$A$24,0))</f>
        <v>Conciliación anual de planillas (INS/CCSS)</v>
      </c>
      <c r="F564" s="15" t="n">
        <v>2</v>
      </c>
      <c r="G564" s="16" t="n">
        <f aca="false">Parametros!$B$4</f>
        <v>28681</v>
      </c>
      <c r="H564" s="15" t="n">
        <f aca="false">INDEX(Clientes!$E$4:$E$15,MATCH(B564,Clientes!$A$4:$A$15,0))</f>
        <v>1</v>
      </c>
      <c r="I564" s="16" t="n">
        <f aca="false">ROUND(F564*G564*H564,0)</f>
        <v>57362</v>
      </c>
    </row>
    <row r="565" customFormat="false" ht="15" hidden="false" customHeight="false" outlineLevel="0" collapsed="false">
      <c r="A565" s="14" t="n">
        <v>46054</v>
      </c>
      <c r="B565" s="6" t="s">
        <v>29</v>
      </c>
      <c r="C565" s="6" t="s">
        <v>64</v>
      </c>
      <c r="D565" s="0" t="str">
        <f aca="false">INDEX(Clientes!$B$4:$B$15,MATCH(B565,Clientes!$A$4:$A$15,0))</f>
        <v>Distribuidora Los Andes S.A.</v>
      </c>
      <c r="E565" s="0" t="str">
        <f aca="false">INDEX(Catalogo_Servicios!$C$4:$C$24,MATCH(C565,Catalogo_Servicios!$A$4:$A$24,0))</f>
        <v>Estados financieros mensuales</v>
      </c>
      <c r="F565" s="15" t="n">
        <v>3</v>
      </c>
      <c r="G565" s="16" t="n">
        <f aca="false">Parametros!$B$4</f>
        <v>28681</v>
      </c>
      <c r="H565" s="15" t="n">
        <f aca="false">INDEX(Clientes!$E$4:$E$15,MATCH(B565,Clientes!$A$4:$A$15,0))</f>
        <v>1</v>
      </c>
      <c r="I565" s="16" t="n">
        <f aca="false">ROUND(F565*G565*H565,0)</f>
        <v>86043</v>
      </c>
    </row>
    <row r="566" customFormat="false" ht="15" hidden="false" customHeight="false" outlineLevel="0" collapsed="false">
      <c r="A566" s="14" t="n">
        <v>46054</v>
      </c>
      <c r="B566" s="6" t="s">
        <v>29</v>
      </c>
      <c r="C566" s="6" t="s">
        <v>65</v>
      </c>
      <c r="D566" s="0" t="str">
        <f aca="false">INDEX(Clientes!$B$4:$B$15,MATCH(B566,Clientes!$A$4:$A$15,0))</f>
        <v>Distribuidora Los Andes S.A.</v>
      </c>
      <c r="E566" s="0" t="str">
        <f aca="false">INDEX(Catalogo_Servicios!$C$4:$C$24,MATCH(C566,Catalogo_Servicios!$A$4:$A$24,0))</f>
        <v>Declaración mensual de IVA (D-104)</v>
      </c>
      <c r="F566" s="15" t="n">
        <v>0.75</v>
      </c>
      <c r="G566" s="16" t="n">
        <f aca="false">Parametros!$B$4</f>
        <v>28681</v>
      </c>
      <c r="H566" s="15" t="n">
        <f aca="false">INDEX(Clientes!$E$4:$E$15,MATCH(B566,Clientes!$A$4:$A$15,0))</f>
        <v>1</v>
      </c>
      <c r="I566" s="16" t="n">
        <f aca="false">ROUND(F566*G566*H566,0)</f>
        <v>21511</v>
      </c>
    </row>
    <row r="567" customFormat="false" ht="15" hidden="false" customHeight="false" outlineLevel="0" collapsed="false">
      <c r="A567" s="14" t="n">
        <v>46054</v>
      </c>
      <c r="B567" s="6" t="s">
        <v>29</v>
      </c>
      <c r="C567" s="6" t="s">
        <v>66</v>
      </c>
      <c r="D567" s="0" t="str">
        <f aca="false">INDEX(Clientes!$B$4:$B$15,MATCH(B567,Clientes!$A$4:$A$15,0))</f>
        <v>Distribuidora Los Andes S.A.</v>
      </c>
      <c r="E567" s="0" t="str">
        <f aca="false">INDEX(Catalogo_Servicios!$C$4:$C$24,MATCH(C567,Catalogo_Servicios!$A$4:$A$24,0))</f>
        <v>Declaración mensual de retenciones (D-103)</v>
      </c>
      <c r="F567" s="15" t="n">
        <v>0.25</v>
      </c>
      <c r="G567" s="16" t="n">
        <f aca="false">Parametros!$B$4</f>
        <v>28681</v>
      </c>
      <c r="H567" s="15" t="n">
        <f aca="false">INDEX(Clientes!$E$4:$E$15,MATCH(B567,Clientes!$A$4:$A$15,0))</f>
        <v>1</v>
      </c>
      <c r="I567" s="16" t="n">
        <f aca="false">ROUND(F567*G567*H567,0)</f>
        <v>7170</v>
      </c>
    </row>
    <row r="568" customFormat="false" ht="15" hidden="false" customHeight="false" outlineLevel="0" collapsed="false">
      <c r="A568" s="14" t="n">
        <v>46054</v>
      </c>
      <c r="B568" s="6" t="s">
        <v>29</v>
      </c>
      <c r="C568" s="6" t="s">
        <v>67</v>
      </c>
      <c r="D568" s="0" t="str">
        <f aca="false">INDEX(Clientes!$B$4:$B$15,MATCH(B568,Clientes!$A$4:$A$15,0))</f>
        <v>Distribuidora Los Andes S.A.</v>
      </c>
      <c r="E568" s="0" t="str">
        <f aca="false">INDEX(Catalogo_Servicios!$C$4:$C$24,MATCH(C568,Catalogo_Servicios!$A$4:$A$24,0))</f>
        <v>Cálculo de planillas y cargas sociales (CCSS/INS)</v>
      </c>
      <c r="F568" s="15" t="n">
        <v>24</v>
      </c>
      <c r="G568" s="16" t="n">
        <f aca="false">Parametros!$B$4</f>
        <v>28681</v>
      </c>
      <c r="H568" s="15" t="n">
        <f aca="false">INDEX(Clientes!$E$4:$E$15,MATCH(B568,Clientes!$A$4:$A$15,0))</f>
        <v>1</v>
      </c>
      <c r="I568" s="16" t="n">
        <f aca="false">ROUND(F568*G568*H568,0)</f>
        <v>688344</v>
      </c>
    </row>
    <row r="569" customFormat="false" ht="15" hidden="false" customHeight="false" outlineLevel="0" collapsed="false">
      <c r="A569" s="14" t="n">
        <v>46054</v>
      </c>
      <c r="B569" s="6" t="s">
        <v>29</v>
      </c>
      <c r="C569" s="6" t="s">
        <v>72</v>
      </c>
      <c r="D569" s="0" t="str">
        <f aca="false">INDEX(Clientes!$B$4:$B$15,MATCH(B569,Clientes!$A$4:$A$15,0))</f>
        <v>Distribuidora Los Andes S.A.</v>
      </c>
      <c r="E569" s="0" t="str">
        <f aca="false">INDEX(Catalogo_Servicios!$C$4:$C$24,MATCH(C569,Catalogo_Servicios!$A$4:$A$24,0))</f>
        <v>Declaración informativa anual (D-151)</v>
      </c>
      <c r="F569" s="15" t="n">
        <v>0.5</v>
      </c>
      <c r="G569" s="16" t="n">
        <f aca="false">Parametros!$B$4</f>
        <v>28681</v>
      </c>
      <c r="H569" s="15" t="n">
        <f aca="false">INDEX(Clientes!$E$4:$E$15,MATCH(B569,Clientes!$A$4:$A$15,0))</f>
        <v>1</v>
      </c>
      <c r="I569" s="16" t="n">
        <f aca="false">ROUND(F569*G569*H569,0)</f>
        <v>14341</v>
      </c>
    </row>
    <row r="570" customFormat="false" ht="15" hidden="false" customHeight="false" outlineLevel="0" collapsed="false">
      <c r="A570" s="14" t="n">
        <v>46054</v>
      </c>
      <c r="B570" s="6" t="s">
        <v>30</v>
      </c>
      <c r="C570" s="6" t="s">
        <v>64</v>
      </c>
      <c r="D570" s="0" t="str">
        <f aca="false">INDEX(Clientes!$B$4:$B$15,MATCH(B570,Clientes!$A$4:$A$15,0))</f>
        <v>Ferretería El Tornillo</v>
      </c>
      <c r="E570" s="0" t="str">
        <f aca="false">INDEX(Catalogo_Servicios!$C$4:$C$24,MATCH(C570,Catalogo_Servicios!$A$4:$A$24,0))</f>
        <v>Estados financieros mensuales</v>
      </c>
      <c r="F570" s="15" t="n">
        <v>3.25</v>
      </c>
      <c r="G570" s="16" t="n">
        <f aca="false">Parametros!$B$4</f>
        <v>28681</v>
      </c>
      <c r="H570" s="15" t="n">
        <f aca="false">INDEX(Clientes!$E$4:$E$15,MATCH(B570,Clientes!$A$4:$A$15,0))</f>
        <v>1</v>
      </c>
      <c r="I570" s="16" t="n">
        <f aca="false">ROUND(F570*G570*H570,0)</f>
        <v>93213</v>
      </c>
    </row>
    <row r="571" customFormat="false" ht="15" hidden="false" customHeight="false" outlineLevel="0" collapsed="false">
      <c r="A571" s="14" t="n">
        <v>46054</v>
      </c>
      <c r="B571" s="6" t="s">
        <v>30</v>
      </c>
      <c r="C571" s="6" t="s">
        <v>65</v>
      </c>
      <c r="D571" s="0" t="str">
        <f aca="false">INDEX(Clientes!$B$4:$B$15,MATCH(B571,Clientes!$A$4:$A$15,0))</f>
        <v>Ferretería El Tornillo</v>
      </c>
      <c r="E571" s="0" t="str">
        <f aca="false">INDEX(Catalogo_Servicios!$C$4:$C$24,MATCH(C571,Catalogo_Servicios!$A$4:$A$24,0))</f>
        <v>Declaración mensual de IVA (D-104)</v>
      </c>
      <c r="F571" s="15" t="n">
        <v>0.75</v>
      </c>
      <c r="G571" s="16" t="n">
        <f aca="false">Parametros!$B$4</f>
        <v>28681</v>
      </c>
      <c r="H571" s="15" t="n">
        <f aca="false">INDEX(Clientes!$E$4:$E$15,MATCH(B571,Clientes!$A$4:$A$15,0))</f>
        <v>1</v>
      </c>
      <c r="I571" s="16" t="n">
        <f aca="false">ROUND(F571*G571*H571,0)</f>
        <v>21511</v>
      </c>
    </row>
    <row r="572" customFormat="false" ht="15" hidden="false" customHeight="false" outlineLevel="0" collapsed="false">
      <c r="A572" s="14" t="n">
        <v>46054</v>
      </c>
      <c r="B572" s="6" t="s">
        <v>30</v>
      </c>
      <c r="C572" s="6" t="s">
        <v>66</v>
      </c>
      <c r="D572" s="0" t="str">
        <f aca="false">INDEX(Clientes!$B$4:$B$15,MATCH(B572,Clientes!$A$4:$A$15,0))</f>
        <v>Ferretería El Tornillo</v>
      </c>
      <c r="E572" s="0" t="str">
        <f aca="false">INDEX(Catalogo_Servicios!$C$4:$C$24,MATCH(C572,Catalogo_Servicios!$A$4:$A$24,0))</f>
        <v>Declaración mensual de retenciones (D-103)</v>
      </c>
      <c r="F572" s="15" t="n">
        <v>0.25</v>
      </c>
      <c r="G572" s="16" t="n">
        <f aca="false">Parametros!$B$4</f>
        <v>28681</v>
      </c>
      <c r="H572" s="15" t="n">
        <f aca="false">INDEX(Clientes!$E$4:$E$15,MATCH(B572,Clientes!$A$4:$A$15,0))</f>
        <v>1</v>
      </c>
      <c r="I572" s="16" t="n">
        <f aca="false">ROUND(F572*G572*H572,0)</f>
        <v>7170</v>
      </c>
    </row>
    <row r="573" customFormat="false" ht="15" hidden="false" customHeight="false" outlineLevel="0" collapsed="false">
      <c r="A573" s="14" t="n">
        <v>46054</v>
      </c>
      <c r="B573" s="6" t="s">
        <v>30</v>
      </c>
      <c r="C573" s="6" t="s">
        <v>72</v>
      </c>
      <c r="D573" s="0" t="str">
        <f aca="false">INDEX(Clientes!$B$4:$B$15,MATCH(B573,Clientes!$A$4:$A$15,0))</f>
        <v>Ferretería El Tornillo</v>
      </c>
      <c r="E573" s="0" t="str">
        <f aca="false">INDEX(Catalogo_Servicios!$C$4:$C$24,MATCH(C573,Catalogo_Servicios!$A$4:$A$24,0))</f>
        <v>Declaración informativa anual (D-151)</v>
      </c>
      <c r="F573" s="15" t="n">
        <v>0.5</v>
      </c>
      <c r="G573" s="16" t="n">
        <f aca="false">Parametros!$B$4</f>
        <v>28681</v>
      </c>
      <c r="H573" s="15" t="n">
        <f aca="false">INDEX(Clientes!$E$4:$E$15,MATCH(B573,Clientes!$A$4:$A$15,0))</f>
        <v>1</v>
      </c>
      <c r="I573" s="16" t="n">
        <f aca="false">ROUND(F573*G573*H573,0)</f>
        <v>14341</v>
      </c>
    </row>
    <row r="574" customFormat="false" ht="15" hidden="false" customHeight="false" outlineLevel="0" collapsed="false">
      <c r="A574" s="14" t="n">
        <v>46054</v>
      </c>
      <c r="B574" s="6" t="s">
        <v>31</v>
      </c>
      <c r="C574" s="6" t="s">
        <v>65</v>
      </c>
      <c r="D574" s="0" t="str">
        <f aca="false">INDEX(Clientes!$B$4:$B$15,MATCH(B574,Clientes!$A$4:$A$15,0))</f>
        <v>Clínica Dental Sonrisa</v>
      </c>
      <c r="E574" s="0" t="str">
        <f aca="false">INDEX(Catalogo_Servicios!$C$4:$C$24,MATCH(C574,Catalogo_Servicios!$A$4:$A$24,0))</f>
        <v>Declaración mensual de IVA (D-104)</v>
      </c>
      <c r="F574" s="15" t="n">
        <v>0.75</v>
      </c>
      <c r="G574" s="16" t="n">
        <f aca="false">Parametros!$B$4</f>
        <v>28681</v>
      </c>
      <c r="H574" s="15" t="n">
        <f aca="false">INDEX(Clientes!$E$4:$E$15,MATCH(B574,Clientes!$A$4:$A$15,0))</f>
        <v>1.1</v>
      </c>
      <c r="I574" s="16" t="n">
        <f aca="false">ROUND(F574*G574*H574,0)</f>
        <v>23662</v>
      </c>
    </row>
    <row r="575" customFormat="false" ht="15" hidden="false" customHeight="false" outlineLevel="0" collapsed="false">
      <c r="A575" s="14" t="n">
        <v>46054</v>
      </c>
      <c r="B575" s="6" t="s">
        <v>31</v>
      </c>
      <c r="C575" s="6" t="s">
        <v>72</v>
      </c>
      <c r="D575" s="0" t="str">
        <f aca="false">INDEX(Clientes!$B$4:$B$15,MATCH(B575,Clientes!$A$4:$A$15,0))</f>
        <v>Clínica Dental Sonrisa</v>
      </c>
      <c r="E575" s="0" t="str">
        <f aca="false">INDEX(Catalogo_Servicios!$C$4:$C$24,MATCH(C575,Catalogo_Servicios!$A$4:$A$24,0))</f>
        <v>Declaración informativa anual (D-151)</v>
      </c>
      <c r="F575" s="15" t="n">
        <v>0.5</v>
      </c>
      <c r="G575" s="16" t="n">
        <f aca="false">Parametros!$B$4</f>
        <v>28681</v>
      </c>
      <c r="H575" s="15" t="n">
        <f aca="false">INDEX(Clientes!$E$4:$E$15,MATCH(B575,Clientes!$A$4:$A$15,0))</f>
        <v>1.1</v>
      </c>
      <c r="I575" s="16" t="n">
        <f aca="false">ROUND(F575*G575*H575,0)</f>
        <v>15775</v>
      </c>
    </row>
    <row r="576" customFormat="false" ht="15" hidden="false" customHeight="false" outlineLevel="0" collapsed="false">
      <c r="A576" s="14" t="n">
        <v>46054</v>
      </c>
      <c r="B576" s="6" t="s">
        <v>32</v>
      </c>
      <c r="C576" s="6" t="s">
        <v>65</v>
      </c>
      <c r="D576" s="0" t="str">
        <f aca="false">INDEX(Clientes!$B$4:$B$15,MATCH(B576,Clientes!$A$4:$A$15,0))</f>
        <v>Soda y Restaurante Doña Lela</v>
      </c>
      <c r="E576" s="0" t="str">
        <f aca="false">INDEX(Catalogo_Servicios!$C$4:$C$24,MATCH(C576,Catalogo_Servicios!$A$4:$A$24,0))</f>
        <v>Declaración mensual de IVA (D-104)</v>
      </c>
      <c r="F576" s="15" t="n">
        <v>1</v>
      </c>
      <c r="G576" s="16" t="n">
        <f aca="false">Parametros!$B$4</f>
        <v>28681</v>
      </c>
      <c r="H576" s="15" t="n">
        <f aca="false">INDEX(Clientes!$E$4:$E$15,MATCH(B576,Clientes!$A$4:$A$15,0))</f>
        <v>1</v>
      </c>
      <c r="I576" s="16" t="n">
        <f aca="false">ROUND(F576*G576*H576,0)</f>
        <v>28681</v>
      </c>
    </row>
    <row r="577" customFormat="false" ht="15" hidden="false" customHeight="false" outlineLevel="0" collapsed="false">
      <c r="A577" s="14" t="n">
        <v>46054</v>
      </c>
      <c r="B577" s="6" t="s">
        <v>32</v>
      </c>
      <c r="C577" s="6" t="s">
        <v>72</v>
      </c>
      <c r="D577" s="0" t="str">
        <f aca="false">INDEX(Clientes!$B$4:$B$15,MATCH(B577,Clientes!$A$4:$A$15,0))</f>
        <v>Soda y Restaurante Doña Lela</v>
      </c>
      <c r="E577" s="0" t="str">
        <f aca="false">INDEX(Catalogo_Servicios!$C$4:$C$24,MATCH(C577,Catalogo_Servicios!$A$4:$A$24,0))</f>
        <v>Declaración informativa anual (D-151)</v>
      </c>
      <c r="F577" s="15" t="n">
        <v>0.5</v>
      </c>
      <c r="G577" s="16" t="n">
        <f aca="false">Parametros!$B$4</f>
        <v>28681</v>
      </c>
      <c r="H577" s="15" t="n">
        <f aca="false">INDEX(Clientes!$E$4:$E$15,MATCH(B577,Clientes!$A$4:$A$15,0))</f>
        <v>1</v>
      </c>
      <c r="I577" s="16" t="n">
        <f aca="false">ROUND(F577*G577*H577,0)</f>
        <v>14341</v>
      </c>
    </row>
    <row r="578" customFormat="false" ht="15" hidden="false" customHeight="false" outlineLevel="0" collapsed="false">
      <c r="A578" s="14" t="n">
        <v>46054</v>
      </c>
      <c r="B578" s="6" t="s">
        <v>33</v>
      </c>
      <c r="C578" s="6" t="s">
        <v>65</v>
      </c>
      <c r="D578" s="0" t="str">
        <f aca="false">INDEX(Clientes!$B$4:$B$15,MATCH(B578,Clientes!$A$4:$A$15,0))</f>
        <v>Transportes Rápidos del Valle</v>
      </c>
      <c r="E578" s="0" t="str">
        <f aca="false">INDEX(Catalogo_Servicios!$C$4:$C$24,MATCH(C578,Catalogo_Servicios!$A$4:$A$24,0))</f>
        <v>Declaración mensual de IVA (D-104)</v>
      </c>
      <c r="F578" s="15" t="n">
        <v>0.75</v>
      </c>
      <c r="G578" s="16" t="n">
        <f aca="false">Parametros!$B$4</f>
        <v>28681</v>
      </c>
      <c r="H578" s="15" t="n">
        <f aca="false">INDEX(Clientes!$E$4:$E$15,MATCH(B578,Clientes!$A$4:$A$15,0))</f>
        <v>1</v>
      </c>
      <c r="I578" s="16" t="n">
        <f aca="false">ROUND(F578*G578*H578,0)</f>
        <v>21511</v>
      </c>
    </row>
    <row r="579" customFormat="false" ht="15" hidden="false" customHeight="false" outlineLevel="0" collapsed="false">
      <c r="A579" s="14" t="n">
        <v>46054</v>
      </c>
      <c r="B579" s="6" t="s">
        <v>33</v>
      </c>
      <c r="C579" s="6" t="s">
        <v>66</v>
      </c>
      <c r="D579" s="0" t="str">
        <f aca="false">INDEX(Clientes!$B$4:$B$15,MATCH(B579,Clientes!$A$4:$A$15,0))</f>
        <v>Transportes Rápidos del Valle</v>
      </c>
      <c r="E579" s="0" t="str">
        <f aca="false">INDEX(Catalogo_Servicios!$C$4:$C$24,MATCH(C579,Catalogo_Servicios!$A$4:$A$24,0))</f>
        <v>Declaración mensual de retenciones (D-103)</v>
      </c>
      <c r="F579" s="15" t="n">
        <v>0.25</v>
      </c>
      <c r="G579" s="16" t="n">
        <f aca="false">Parametros!$B$4</f>
        <v>28681</v>
      </c>
      <c r="H579" s="15" t="n">
        <f aca="false">INDEX(Clientes!$E$4:$E$15,MATCH(B579,Clientes!$A$4:$A$15,0))</f>
        <v>1</v>
      </c>
      <c r="I579" s="16" t="n">
        <f aca="false">ROUND(F579*G579*H579,0)</f>
        <v>7170</v>
      </c>
    </row>
    <row r="580" customFormat="false" ht="15" hidden="false" customHeight="false" outlineLevel="0" collapsed="false">
      <c r="A580" s="14" t="n">
        <v>46054</v>
      </c>
      <c r="B580" s="6" t="s">
        <v>33</v>
      </c>
      <c r="C580" s="6" t="s">
        <v>67</v>
      </c>
      <c r="D580" s="0" t="str">
        <f aca="false">INDEX(Clientes!$B$4:$B$15,MATCH(B580,Clientes!$A$4:$A$15,0))</f>
        <v>Transportes Rápidos del Valle</v>
      </c>
      <c r="E580" s="0" t="str">
        <f aca="false">INDEX(Catalogo_Servicios!$C$4:$C$24,MATCH(C580,Catalogo_Servicios!$A$4:$A$24,0))</f>
        <v>Cálculo de planillas y cargas sociales (CCSS/INS)</v>
      </c>
      <c r="F580" s="15" t="n">
        <v>6</v>
      </c>
      <c r="G580" s="16" t="n">
        <f aca="false">Parametros!$B$4</f>
        <v>28681</v>
      </c>
      <c r="H580" s="15" t="n">
        <f aca="false">INDEX(Clientes!$E$4:$E$15,MATCH(B580,Clientes!$A$4:$A$15,0))</f>
        <v>1</v>
      </c>
      <c r="I580" s="16" t="n">
        <f aca="false">ROUND(F580*G580*H580,0)</f>
        <v>172086</v>
      </c>
    </row>
    <row r="581" customFormat="false" ht="15" hidden="false" customHeight="false" outlineLevel="0" collapsed="false">
      <c r="A581" s="14" t="n">
        <v>46054</v>
      </c>
      <c r="B581" s="6" t="s">
        <v>33</v>
      </c>
      <c r="C581" s="6" t="s">
        <v>74</v>
      </c>
      <c r="D581" s="0" t="str">
        <f aca="false">INDEX(Clientes!$B$4:$B$15,MATCH(B581,Clientes!$A$4:$A$15,0))</f>
        <v>Transportes Rápidos del Valle</v>
      </c>
      <c r="E581" s="0" t="str">
        <f aca="false">INDEX(Catalogo_Servicios!$C$4:$C$24,MATCH(C581,Catalogo_Servicios!$A$4:$A$24,0))</f>
        <v>Certificación de ingresos y estudios generales</v>
      </c>
      <c r="F581" s="15" t="n">
        <v>3</v>
      </c>
      <c r="G581" s="16" t="n">
        <f aca="false">Parametros!$B$4</f>
        <v>28681</v>
      </c>
      <c r="H581" s="15" t="n">
        <f aca="false">INDEX(Clientes!$E$4:$E$15,MATCH(B581,Clientes!$A$4:$A$15,0))</f>
        <v>1</v>
      </c>
      <c r="I581" s="16" t="n">
        <f aca="false">ROUND(F581*G581*H581,0)</f>
        <v>86043</v>
      </c>
    </row>
    <row r="582" customFormat="false" ht="15" hidden="false" customHeight="false" outlineLevel="0" collapsed="false">
      <c r="A582" s="14" t="n">
        <v>46054</v>
      </c>
      <c r="B582" s="6" t="s">
        <v>33</v>
      </c>
      <c r="C582" s="6" t="s">
        <v>72</v>
      </c>
      <c r="D582" s="0" t="str">
        <f aca="false">INDEX(Clientes!$B$4:$B$15,MATCH(B582,Clientes!$A$4:$A$15,0))</f>
        <v>Transportes Rápidos del Valle</v>
      </c>
      <c r="E582" s="0" t="str">
        <f aca="false">INDEX(Catalogo_Servicios!$C$4:$C$24,MATCH(C582,Catalogo_Servicios!$A$4:$A$24,0))</f>
        <v>Declaración informativa anual (D-151)</v>
      </c>
      <c r="F582" s="15" t="n">
        <v>0.5</v>
      </c>
      <c r="G582" s="16" t="n">
        <f aca="false">Parametros!$B$4</f>
        <v>28681</v>
      </c>
      <c r="H582" s="15" t="n">
        <f aca="false">INDEX(Clientes!$E$4:$E$15,MATCH(B582,Clientes!$A$4:$A$15,0))</f>
        <v>1</v>
      </c>
      <c r="I582" s="16" t="n">
        <f aca="false">ROUND(F582*G582*H582,0)</f>
        <v>14341</v>
      </c>
    </row>
    <row r="583" customFormat="false" ht="15" hidden="false" customHeight="false" outlineLevel="0" collapsed="false">
      <c r="A583" s="14" t="n">
        <v>46054</v>
      </c>
      <c r="B583" s="6" t="s">
        <v>35</v>
      </c>
      <c r="C583" s="6" t="s">
        <v>65</v>
      </c>
      <c r="D583" s="0" t="str">
        <f aca="false">INDEX(Clientes!$B$4:$B$15,MATCH(B583,Clientes!$A$4:$A$15,0))</f>
        <v>Taller Mecánico Hermanos Mora</v>
      </c>
      <c r="E583" s="0" t="str">
        <f aca="false">INDEX(Catalogo_Servicios!$C$4:$C$24,MATCH(C583,Catalogo_Servicios!$A$4:$A$24,0))</f>
        <v>Declaración mensual de IVA (D-104)</v>
      </c>
      <c r="F583" s="15" t="n">
        <v>0.75</v>
      </c>
      <c r="G583" s="16" t="n">
        <f aca="false">Parametros!$B$4</f>
        <v>28681</v>
      </c>
      <c r="H583" s="15" t="n">
        <f aca="false">INDEX(Clientes!$E$4:$E$15,MATCH(B583,Clientes!$A$4:$A$15,0))</f>
        <v>1</v>
      </c>
      <c r="I583" s="16" t="n">
        <f aca="false">ROUND(F583*G583*H583,0)</f>
        <v>21511</v>
      </c>
    </row>
    <row r="584" customFormat="false" ht="15" hidden="false" customHeight="false" outlineLevel="0" collapsed="false">
      <c r="A584" s="14" t="n">
        <v>46054</v>
      </c>
      <c r="B584" s="6" t="s">
        <v>35</v>
      </c>
      <c r="C584" s="6" t="s">
        <v>72</v>
      </c>
      <c r="D584" s="0" t="str">
        <f aca="false">INDEX(Clientes!$B$4:$B$15,MATCH(B584,Clientes!$A$4:$A$15,0))</f>
        <v>Taller Mecánico Hermanos Mora</v>
      </c>
      <c r="E584" s="0" t="str">
        <f aca="false">INDEX(Catalogo_Servicios!$C$4:$C$24,MATCH(C584,Catalogo_Servicios!$A$4:$A$24,0))</f>
        <v>Declaración informativa anual (D-151)</v>
      </c>
      <c r="F584" s="15" t="n">
        <v>0.5</v>
      </c>
      <c r="G584" s="16" t="n">
        <f aca="false">Parametros!$B$4</f>
        <v>28681</v>
      </c>
      <c r="H584" s="15" t="n">
        <f aca="false">INDEX(Clientes!$E$4:$E$15,MATCH(B584,Clientes!$A$4:$A$15,0))</f>
        <v>1</v>
      </c>
      <c r="I584" s="16" t="n">
        <f aca="false">ROUND(F584*G584*H584,0)</f>
        <v>14341</v>
      </c>
    </row>
    <row r="585" customFormat="false" ht="15" hidden="false" customHeight="false" outlineLevel="0" collapsed="false">
      <c r="A585" s="14" t="n">
        <v>46054</v>
      </c>
      <c r="B585" s="6" t="s">
        <v>36</v>
      </c>
      <c r="C585" s="6" t="s">
        <v>65</v>
      </c>
      <c r="D585" s="0" t="str">
        <f aca="false">INDEX(Clientes!$B$4:$B$15,MATCH(B585,Clientes!$A$4:$A$15,0))</f>
        <v>Agroservicios Cartago</v>
      </c>
      <c r="E585" s="0" t="str">
        <f aca="false">INDEX(Catalogo_Servicios!$C$4:$C$24,MATCH(C585,Catalogo_Servicios!$A$4:$A$24,0))</f>
        <v>Declaración mensual de IVA (D-104)</v>
      </c>
      <c r="F585" s="15" t="n">
        <v>1</v>
      </c>
      <c r="G585" s="16" t="n">
        <f aca="false">Parametros!$B$4</f>
        <v>28681</v>
      </c>
      <c r="H585" s="15" t="n">
        <f aca="false">INDEX(Clientes!$E$4:$E$15,MATCH(B585,Clientes!$A$4:$A$15,0))</f>
        <v>1</v>
      </c>
      <c r="I585" s="16" t="n">
        <f aca="false">ROUND(F585*G585*H585,0)</f>
        <v>28681</v>
      </c>
    </row>
    <row r="586" customFormat="false" ht="15" hidden="false" customHeight="false" outlineLevel="0" collapsed="false">
      <c r="A586" s="14" t="n">
        <v>46054</v>
      </c>
      <c r="B586" s="6" t="s">
        <v>36</v>
      </c>
      <c r="C586" s="6" t="s">
        <v>66</v>
      </c>
      <c r="D586" s="0" t="str">
        <f aca="false">INDEX(Clientes!$B$4:$B$15,MATCH(B586,Clientes!$A$4:$A$15,0))</f>
        <v>Agroservicios Cartago</v>
      </c>
      <c r="E586" s="0" t="str">
        <f aca="false">INDEX(Catalogo_Servicios!$C$4:$C$24,MATCH(C586,Catalogo_Servicios!$A$4:$A$24,0))</f>
        <v>Declaración mensual de retenciones (D-103)</v>
      </c>
      <c r="F586" s="15" t="n">
        <v>0.25</v>
      </c>
      <c r="G586" s="16" t="n">
        <f aca="false">Parametros!$B$4</f>
        <v>28681</v>
      </c>
      <c r="H586" s="15" t="n">
        <f aca="false">INDEX(Clientes!$E$4:$E$15,MATCH(B586,Clientes!$A$4:$A$15,0))</f>
        <v>1</v>
      </c>
      <c r="I586" s="16" t="n">
        <f aca="false">ROUND(F586*G586*H586,0)</f>
        <v>7170</v>
      </c>
    </row>
    <row r="587" customFormat="false" ht="15" hidden="false" customHeight="false" outlineLevel="0" collapsed="false">
      <c r="A587" s="14" t="n">
        <v>46054</v>
      </c>
      <c r="B587" s="6" t="s">
        <v>36</v>
      </c>
      <c r="C587" s="6" t="s">
        <v>72</v>
      </c>
      <c r="D587" s="0" t="str">
        <f aca="false">INDEX(Clientes!$B$4:$B$15,MATCH(B587,Clientes!$A$4:$A$15,0))</f>
        <v>Agroservicios Cartago</v>
      </c>
      <c r="E587" s="0" t="str">
        <f aca="false">INDEX(Catalogo_Servicios!$C$4:$C$24,MATCH(C587,Catalogo_Servicios!$A$4:$A$24,0))</f>
        <v>Declaración informativa anual (D-151)</v>
      </c>
      <c r="F587" s="15" t="n">
        <v>0.5</v>
      </c>
      <c r="G587" s="16" t="n">
        <f aca="false">Parametros!$B$4</f>
        <v>28681</v>
      </c>
      <c r="H587" s="15" t="n">
        <f aca="false">INDEX(Clientes!$E$4:$E$15,MATCH(B587,Clientes!$A$4:$A$15,0))</f>
        <v>1</v>
      </c>
      <c r="I587" s="16" t="n">
        <f aca="false">ROUND(F587*G587*H587,0)</f>
        <v>14341</v>
      </c>
    </row>
    <row r="588" customFormat="false" ht="15" hidden="false" customHeight="false" outlineLevel="0" collapsed="false">
      <c r="A588" s="14" t="n">
        <v>46054</v>
      </c>
      <c r="B588" s="6" t="s">
        <v>38</v>
      </c>
      <c r="C588" s="6" t="s">
        <v>65</v>
      </c>
      <c r="D588" s="0" t="str">
        <f aca="false">INDEX(Clientes!$B$4:$B$15,MATCH(B588,Clientes!$A$4:$A$15,0))</f>
        <v>Panadería La Espiga</v>
      </c>
      <c r="E588" s="0" t="str">
        <f aca="false">INDEX(Catalogo_Servicios!$C$4:$C$24,MATCH(C588,Catalogo_Servicios!$A$4:$A$24,0))</f>
        <v>Declaración mensual de IVA (D-104)</v>
      </c>
      <c r="F588" s="15" t="n">
        <v>0.75</v>
      </c>
      <c r="G588" s="16" t="n">
        <f aca="false">Parametros!$B$4</f>
        <v>28681</v>
      </c>
      <c r="H588" s="15" t="n">
        <f aca="false">INDEX(Clientes!$E$4:$E$15,MATCH(B588,Clientes!$A$4:$A$15,0))</f>
        <v>1</v>
      </c>
      <c r="I588" s="16" t="n">
        <f aca="false">ROUND(F588*G588*H588,0)</f>
        <v>21511</v>
      </c>
    </row>
    <row r="589" customFormat="false" ht="15" hidden="false" customHeight="false" outlineLevel="0" collapsed="false">
      <c r="A589" s="14" t="n">
        <v>46054</v>
      </c>
      <c r="B589" s="6" t="s">
        <v>38</v>
      </c>
      <c r="C589" s="6" t="s">
        <v>67</v>
      </c>
      <c r="D589" s="0" t="str">
        <f aca="false">INDEX(Clientes!$B$4:$B$15,MATCH(B589,Clientes!$A$4:$A$15,0))</f>
        <v>Panadería La Espiga</v>
      </c>
      <c r="E589" s="0" t="str">
        <f aca="false">INDEX(Catalogo_Servicios!$C$4:$C$24,MATCH(C589,Catalogo_Servicios!$A$4:$A$24,0))</f>
        <v>Cálculo de planillas y cargas sociales (CCSS/INS)</v>
      </c>
      <c r="F589" s="15" t="n">
        <v>6.5</v>
      </c>
      <c r="G589" s="16" t="n">
        <f aca="false">Parametros!$B$4</f>
        <v>28681</v>
      </c>
      <c r="H589" s="15" t="n">
        <f aca="false">INDEX(Clientes!$E$4:$E$15,MATCH(B589,Clientes!$A$4:$A$15,0))</f>
        <v>1</v>
      </c>
      <c r="I589" s="16" t="n">
        <f aca="false">ROUND(F589*G589*H589,0)</f>
        <v>186427</v>
      </c>
    </row>
    <row r="590" customFormat="false" ht="15" hidden="false" customHeight="false" outlineLevel="0" collapsed="false">
      <c r="A590" s="14" t="n">
        <v>46054</v>
      </c>
      <c r="B590" s="6" t="s">
        <v>38</v>
      </c>
      <c r="C590" s="6" t="s">
        <v>72</v>
      </c>
      <c r="D590" s="0" t="str">
        <f aca="false">INDEX(Clientes!$B$4:$B$15,MATCH(B590,Clientes!$A$4:$A$15,0))</f>
        <v>Panadería La Espiga</v>
      </c>
      <c r="E590" s="0" t="str">
        <f aca="false">INDEX(Catalogo_Servicios!$C$4:$C$24,MATCH(C590,Catalogo_Servicios!$A$4:$A$24,0))</f>
        <v>Declaración informativa anual (D-151)</v>
      </c>
      <c r="F590" s="15" t="n">
        <v>0.5</v>
      </c>
      <c r="G590" s="16" t="n">
        <f aca="false">Parametros!$B$4</f>
        <v>28681</v>
      </c>
      <c r="H590" s="15" t="n">
        <f aca="false">INDEX(Clientes!$E$4:$E$15,MATCH(B590,Clientes!$A$4:$A$15,0))</f>
        <v>1</v>
      </c>
      <c r="I590" s="16" t="n">
        <f aca="false">ROUND(F590*G590*H590,0)</f>
        <v>14341</v>
      </c>
    </row>
    <row r="591" customFormat="false" ht="15" hidden="false" customHeight="false" outlineLevel="0" collapsed="false">
      <c r="A591" s="14" t="n">
        <v>46054</v>
      </c>
      <c r="B591" s="6" t="s">
        <v>40</v>
      </c>
      <c r="C591" s="6" t="s">
        <v>68</v>
      </c>
      <c r="D591" s="0" t="str">
        <f aca="false">INDEX(Clientes!$B$4:$B$15,MATCH(B591,Clientes!$A$4:$A$15,0))</f>
        <v>Veterinaria Mascotas Felices</v>
      </c>
      <c r="E591" s="0" t="str">
        <f aca="false">INDEX(Catalogo_Servicios!$C$4:$C$24,MATCH(C591,Catalogo_Servicios!$A$4:$A$24,0))</f>
        <v>Asesoría contable, financiera y tributaria</v>
      </c>
      <c r="F591" s="15" t="n">
        <v>1.5</v>
      </c>
      <c r="G591" s="16" t="n">
        <f aca="false">Parametros!$B$4</f>
        <v>28681</v>
      </c>
      <c r="H591" s="15" t="n">
        <f aca="false">INDEX(Clientes!$E$4:$E$15,MATCH(B591,Clientes!$A$4:$A$15,0))</f>
        <v>1.05</v>
      </c>
      <c r="I591" s="16" t="n">
        <f aca="false">ROUND(F591*G591*H591,0)</f>
        <v>45173</v>
      </c>
    </row>
    <row r="592" customFormat="false" ht="15" hidden="false" customHeight="false" outlineLevel="0" collapsed="false">
      <c r="A592" s="14" t="n">
        <v>46082</v>
      </c>
      <c r="B592" s="6" t="s">
        <v>29</v>
      </c>
      <c r="C592" s="6" t="s">
        <v>64</v>
      </c>
      <c r="D592" s="0" t="str">
        <f aca="false">INDEX(Clientes!$B$4:$B$15,MATCH(B592,Clientes!$A$4:$A$15,0))</f>
        <v>Distribuidora Los Andes S.A.</v>
      </c>
      <c r="E592" s="0" t="str">
        <f aca="false">INDEX(Catalogo_Servicios!$C$4:$C$24,MATCH(C592,Catalogo_Servicios!$A$4:$A$24,0))</f>
        <v>Estados financieros mensuales</v>
      </c>
      <c r="F592" s="15" t="n">
        <v>3</v>
      </c>
      <c r="G592" s="16" t="n">
        <f aca="false">Parametros!$B$4</f>
        <v>28681</v>
      </c>
      <c r="H592" s="15" t="n">
        <f aca="false">INDEX(Clientes!$E$4:$E$15,MATCH(B592,Clientes!$A$4:$A$15,0))</f>
        <v>1</v>
      </c>
      <c r="I592" s="16" t="n">
        <f aca="false">ROUND(F592*G592*H592,0)</f>
        <v>86043</v>
      </c>
    </row>
    <row r="593" customFormat="false" ht="15" hidden="false" customHeight="false" outlineLevel="0" collapsed="false">
      <c r="A593" s="14" t="n">
        <v>46082</v>
      </c>
      <c r="B593" s="6" t="s">
        <v>29</v>
      </c>
      <c r="C593" s="6" t="s">
        <v>65</v>
      </c>
      <c r="D593" s="0" t="str">
        <f aca="false">INDEX(Clientes!$B$4:$B$15,MATCH(B593,Clientes!$A$4:$A$15,0))</f>
        <v>Distribuidora Los Andes S.A.</v>
      </c>
      <c r="E593" s="0" t="str">
        <f aca="false">INDEX(Catalogo_Servicios!$C$4:$C$24,MATCH(C593,Catalogo_Servicios!$A$4:$A$24,0))</f>
        <v>Declaración mensual de IVA (D-104)</v>
      </c>
      <c r="F593" s="15" t="n">
        <v>0.75</v>
      </c>
      <c r="G593" s="16" t="n">
        <f aca="false">Parametros!$B$4</f>
        <v>28681</v>
      </c>
      <c r="H593" s="15" t="n">
        <f aca="false">INDEX(Clientes!$E$4:$E$15,MATCH(B593,Clientes!$A$4:$A$15,0))</f>
        <v>1</v>
      </c>
      <c r="I593" s="16" t="n">
        <f aca="false">ROUND(F593*G593*H593,0)</f>
        <v>21511</v>
      </c>
    </row>
    <row r="594" customFormat="false" ht="15" hidden="false" customHeight="false" outlineLevel="0" collapsed="false">
      <c r="A594" s="14" t="n">
        <v>46082</v>
      </c>
      <c r="B594" s="6" t="s">
        <v>29</v>
      </c>
      <c r="C594" s="6" t="s">
        <v>66</v>
      </c>
      <c r="D594" s="0" t="str">
        <f aca="false">INDEX(Clientes!$B$4:$B$15,MATCH(B594,Clientes!$A$4:$A$15,0))</f>
        <v>Distribuidora Los Andes S.A.</v>
      </c>
      <c r="E594" s="0" t="str">
        <f aca="false">INDEX(Catalogo_Servicios!$C$4:$C$24,MATCH(C594,Catalogo_Servicios!$A$4:$A$24,0))</f>
        <v>Declaración mensual de retenciones (D-103)</v>
      </c>
      <c r="F594" s="15" t="n">
        <v>0.25</v>
      </c>
      <c r="G594" s="16" t="n">
        <f aca="false">Parametros!$B$4</f>
        <v>28681</v>
      </c>
      <c r="H594" s="15" t="n">
        <f aca="false">INDEX(Clientes!$E$4:$E$15,MATCH(B594,Clientes!$A$4:$A$15,0))</f>
        <v>1</v>
      </c>
      <c r="I594" s="16" t="n">
        <f aca="false">ROUND(F594*G594*H594,0)</f>
        <v>7170</v>
      </c>
    </row>
    <row r="595" customFormat="false" ht="15" hidden="false" customHeight="false" outlineLevel="0" collapsed="false">
      <c r="A595" s="14" t="n">
        <v>46082</v>
      </c>
      <c r="B595" s="6" t="s">
        <v>29</v>
      </c>
      <c r="C595" s="6" t="s">
        <v>67</v>
      </c>
      <c r="D595" s="0" t="str">
        <f aca="false">INDEX(Clientes!$B$4:$B$15,MATCH(B595,Clientes!$A$4:$A$15,0))</f>
        <v>Distribuidora Los Andes S.A.</v>
      </c>
      <c r="E595" s="0" t="str">
        <f aca="false">INDEX(Catalogo_Servicios!$C$4:$C$24,MATCH(C595,Catalogo_Servicios!$A$4:$A$24,0))</f>
        <v>Cálculo de planillas y cargas sociales (CCSS/INS)</v>
      </c>
      <c r="F595" s="15" t="n">
        <v>22</v>
      </c>
      <c r="G595" s="16" t="n">
        <f aca="false">Parametros!$B$4</f>
        <v>28681</v>
      </c>
      <c r="H595" s="15" t="n">
        <f aca="false">INDEX(Clientes!$E$4:$E$15,MATCH(B595,Clientes!$A$4:$A$15,0))</f>
        <v>1</v>
      </c>
      <c r="I595" s="16" t="n">
        <f aca="false">ROUND(F595*G595*H595,0)</f>
        <v>630982</v>
      </c>
    </row>
    <row r="596" customFormat="false" ht="15" hidden="false" customHeight="false" outlineLevel="0" collapsed="false">
      <c r="A596" s="14" t="n">
        <v>46082</v>
      </c>
      <c r="B596" s="6" t="s">
        <v>30</v>
      </c>
      <c r="C596" s="6" t="s">
        <v>64</v>
      </c>
      <c r="D596" s="0" t="str">
        <f aca="false">INDEX(Clientes!$B$4:$B$15,MATCH(B596,Clientes!$A$4:$A$15,0))</f>
        <v>Ferretería El Tornillo</v>
      </c>
      <c r="E596" s="0" t="str">
        <f aca="false">INDEX(Catalogo_Servicios!$C$4:$C$24,MATCH(C596,Catalogo_Servicios!$A$4:$A$24,0))</f>
        <v>Estados financieros mensuales</v>
      </c>
      <c r="F596" s="15" t="n">
        <v>3.25</v>
      </c>
      <c r="G596" s="16" t="n">
        <f aca="false">Parametros!$B$4</f>
        <v>28681</v>
      </c>
      <c r="H596" s="15" t="n">
        <f aca="false">INDEX(Clientes!$E$4:$E$15,MATCH(B596,Clientes!$A$4:$A$15,0))</f>
        <v>1</v>
      </c>
      <c r="I596" s="16" t="n">
        <f aca="false">ROUND(F596*G596*H596,0)</f>
        <v>93213</v>
      </c>
    </row>
    <row r="597" customFormat="false" ht="15" hidden="false" customHeight="false" outlineLevel="0" collapsed="false">
      <c r="A597" s="14" t="n">
        <v>46082</v>
      </c>
      <c r="B597" s="6" t="s">
        <v>30</v>
      </c>
      <c r="C597" s="6" t="s">
        <v>65</v>
      </c>
      <c r="D597" s="0" t="str">
        <f aca="false">INDEX(Clientes!$B$4:$B$15,MATCH(B597,Clientes!$A$4:$A$15,0))</f>
        <v>Ferretería El Tornillo</v>
      </c>
      <c r="E597" s="0" t="str">
        <f aca="false">INDEX(Catalogo_Servicios!$C$4:$C$24,MATCH(C597,Catalogo_Servicios!$A$4:$A$24,0))</f>
        <v>Declaración mensual de IVA (D-104)</v>
      </c>
      <c r="F597" s="15" t="n">
        <v>0.75</v>
      </c>
      <c r="G597" s="16" t="n">
        <f aca="false">Parametros!$B$4</f>
        <v>28681</v>
      </c>
      <c r="H597" s="15" t="n">
        <f aca="false">INDEX(Clientes!$E$4:$E$15,MATCH(B597,Clientes!$A$4:$A$15,0))</f>
        <v>1</v>
      </c>
      <c r="I597" s="16" t="n">
        <f aca="false">ROUND(F597*G597*H597,0)</f>
        <v>21511</v>
      </c>
    </row>
    <row r="598" customFormat="false" ht="15" hidden="false" customHeight="false" outlineLevel="0" collapsed="false">
      <c r="A598" s="14" t="n">
        <v>46082</v>
      </c>
      <c r="B598" s="6" t="s">
        <v>30</v>
      </c>
      <c r="C598" s="6" t="s">
        <v>66</v>
      </c>
      <c r="D598" s="0" t="str">
        <f aca="false">INDEX(Clientes!$B$4:$B$15,MATCH(B598,Clientes!$A$4:$A$15,0))</f>
        <v>Ferretería El Tornillo</v>
      </c>
      <c r="E598" s="0" t="str">
        <f aca="false">INDEX(Catalogo_Servicios!$C$4:$C$24,MATCH(C598,Catalogo_Servicios!$A$4:$A$24,0))</f>
        <v>Declaración mensual de retenciones (D-103)</v>
      </c>
      <c r="F598" s="15" t="n">
        <v>0.25</v>
      </c>
      <c r="G598" s="16" t="n">
        <f aca="false">Parametros!$B$4</f>
        <v>28681</v>
      </c>
      <c r="H598" s="15" t="n">
        <f aca="false">INDEX(Clientes!$E$4:$E$15,MATCH(B598,Clientes!$A$4:$A$15,0))</f>
        <v>1</v>
      </c>
      <c r="I598" s="16" t="n">
        <f aca="false">ROUND(F598*G598*H598,0)</f>
        <v>7170</v>
      </c>
    </row>
    <row r="599" customFormat="false" ht="15" hidden="false" customHeight="false" outlineLevel="0" collapsed="false">
      <c r="A599" s="14" t="n">
        <v>46082</v>
      </c>
      <c r="B599" s="6" t="s">
        <v>30</v>
      </c>
      <c r="C599" s="6" t="s">
        <v>69</v>
      </c>
      <c r="D599" s="0" t="str">
        <f aca="false">INDEX(Clientes!$B$4:$B$15,MATCH(B599,Clientes!$A$4:$A$15,0))</f>
        <v>Ferretería El Tornillo</v>
      </c>
      <c r="E599" s="0" t="str">
        <f aca="false">INDEX(Catalogo_Servicios!$C$4:$C$24,MATCH(C599,Catalogo_Servicios!$A$4:$A$24,0))</f>
        <v>Declaración anual de renta (D-101 / D-105)</v>
      </c>
      <c r="F599" s="15" t="n">
        <v>1.5</v>
      </c>
      <c r="G599" s="16" t="n">
        <f aca="false">Parametros!$B$4</f>
        <v>28681</v>
      </c>
      <c r="H599" s="15" t="n">
        <f aca="false">INDEX(Clientes!$E$4:$E$15,MATCH(B599,Clientes!$A$4:$A$15,0))</f>
        <v>1</v>
      </c>
      <c r="I599" s="16" t="n">
        <f aca="false">ROUND(F599*G599*H599,0)</f>
        <v>43022</v>
      </c>
    </row>
    <row r="600" customFormat="false" ht="15" hidden="false" customHeight="false" outlineLevel="0" collapsed="false">
      <c r="A600" s="14" t="n">
        <v>46082</v>
      </c>
      <c r="B600" s="6" t="s">
        <v>30</v>
      </c>
      <c r="C600" s="6" t="s">
        <v>70</v>
      </c>
      <c r="D600" s="0" t="str">
        <f aca="false">INDEX(Clientes!$B$4:$B$15,MATCH(B600,Clientes!$A$4:$A$15,0))</f>
        <v>Ferretería El Tornillo</v>
      </c>
      <c r="E600" s="0" t="str">
        <f aca="false">INDEX(Catalogo_Servicios!$C$4:$C$24,MATCH(C600,Catalogo_Servicios!$A$4:$A$24,0))</f>
        <v>Estados financieros anuales / cierre fiscal</v>
      </c>
      <c r="F600" s="15" t="n">
        <v>6</v>
      </c>
      <c r="G600" s="16" t="n">
        <f aca="false">Parametros!$B$4</f>
        <v>28681</v>
      </c>
      <c r="H600" s="15" t="n">
        <f aca="false">INDEX(Clientes!$E$4:$E$15,MATCH(B600,Clientes!$A$4:$A$15,0))</f>
        <v>1</v>
      </c>
      <c r="I600" s="16" t="n">
        <f aca="false">ROUND(F600*G600*H600,0)</f>
        <v>172086</v>
      </c>
    </row>
    <row r="601" customFormat="false" ht="15" hidden="false" customHeight="false" outlineLevel="0" collapsed="false">
      <c r="A601" s="14" t="n">
        <v>46082</v>
      </c>
      <c r="B601" s="6" t="s">
        <v>31</v>
      </c>
      <c r="C601" s="6" t="s">
        <v>65</v>
      </c>
      <c r="D601" s="0" t="str">
        <f aca="false">INDEX(Clientes!$B$4:$B$15,MATCH(B601,Clientes!$A$4:$A$15,0))</f>
        <v>Clínica Dental Sonrisa</v>
      </c>
      <c r="E601" s="0" t="str">
        <f aca="false">INDEX(Catalogo_Servicios!$C$4:$C$24,MATCH(C601,Catalogo_Servicios!$A$4:$A$24,0))</f>
        <v>Declaración mensual de IVA (D-104)</v>
      </c>
      <c r="F601" s="15" t="n">
        <v>0.75</v>
      </c>
      <c r="G601" s="16" t="n">
        <f aca="false">Parametros!$B$4</f>
        <v>28681</v>
      </c>
      <c r="H601" s="15" t="n">
        <f aca="false">INDEX(Clientes!$E$4:$E$15,MATCH(B601,Clientes!$A$4:$A$15,0))</f>
        <v>1.1</v>
      </c>
      <c r="I601" s="16" t="n">
        <f aca="false">ROUND(F601*G601*H601,0)</f>
        <v>23662</v>
      </c>
    </row>
    <row r="602" customFormat="false" ht="15" hidden="false" customHeight="false" outlineLevel="0" collapsed="false">
      <c r="A602" s="14" t="n">
        <v>46082</v>
      </c>
      <c r="B602" s="6" t="s">
        <v>32</v>
      </c>
      <c r="C602" s="6" t="s">
        <v>65</v>
      </c>
      <c r="D602" s="0" t="str">
        <f aca="false">INDEX(Clientes!$B$4:$B$15,MATCH(B602,Clientes!$A$4:$A$15,0))</f>
        <v>Soda y Restaurante Doña Lela</v>
      </c>
      <c r="E602" s="0" t="str">
        <f aca="false">INDEX(Catalogo_Servicios!$C$4:$C$24,MATCH(C602,Catalogo_Servicios!$A$4:$A$24,0))</f>
        <v>Declaración mensual de IVA (D-104)</v>
      </c>
      <c r="F602" s="15" t="n">
        <v>0.75</v>
      </c>
      <c r="G602" s="16" t="n">
        <f aca="false">Parametros!$B$4</f>
        <v>28681</v>
      </c>
      <c r="H602" s="15" t="n">
        <f aca="false">INDEX(Clientes!$E$4:$E$15,MATCH(B602,Clientes!$A$4:$A$15,0))</f>
        <v>1</v>
      </c>
      <c r="I602" s="16" t="n">
        <f aca="false">ROUND(F602*G602*H602,0)</f>
        <v>21511</v>
      </c>
    </row>
    <row r="603" customFormat="false" ht="15" hidden="false" customHeight="false" outlineLevel="0" collapsed="false">
      <c r="A603" s="14" t="n">
        <v>46082</v>
      </c>
      <c r="B603" s="6" t="s">
        <v>33</v>
      </c>
      <c r="C603" s="6" t="s">
        <v>65</v>
      </c>
      <c r="D603" s="0" t="str">
        <f aca="false">INDEX(Clientes!$B$4:$B$15,MATCH(B603,Clientes!$A$4:$A$15,0))</f>
        <v>Transportes Rápidos del Valle</v>
      </c>
      <c r="E603" s="0" t="str">
        <f aca="false">INDEX(Catalogo_Servicios!$C$4:$C$24,MATCH(C603,Catalogo_Servicios!$A$4:$A$24,0))</f>
        <v>Declaración mensual de IVA (D-104)</v>
      </c>
      <c r="F603" s="15" t="n">
        <v>0.75</v>
      </c>
      <c r="G603" s="16" t="n">
        <f aca="false">Parametros!$B$4</f>
        <v>28681</v>
      </c>
      <c r="H603" s="15" t="n">
        <f aca="false">INDEX(Clientes!$E$4:$E$15,MATCH(B603,Clientes!$A$4:$A$15,0))</f>
        <v>1</v>
      </c>
      <c r="I603" s="16" t="n">
        <f aca="false">ROUND(F603*G603*H603,0)</f>
        <v>21511</v>
      </c>
    </row>
    <row r="604" customFormat="false" ht="15" hidden="false" customHeight="false" outlineLevel="0" collapsed="false">
      <c r="A604" s="14" t="n">
        <v>46082</v>
      </c>
      <c r="B604" s="6" t="s">
        <v>33</v>
      </c>
      <c r="C604" s="6" t="s">
        <v>66</v>
      </c>
      <c r="D604" s="0" t="str">
        <f aca="false">INDEX(Clientes!$B$4:$B$15,MATCH(B604,Clientes!$A$4:$A$15,0))</f>
        <v>Transportes Rápidos del Valle</v>
      </c>
      <c r="E604" s="0" t="str">
        <f aca="false">INDEX(Catalogo_Servicios!$C$4:$C$24,MATCH(C604,Catalogo_Servicios!$A$4:$A$24,0))</f>
        <v>Declaración mensual de retenciones (D-103)</v>
      </c>
      <c r="F604" s="15" t="n">
        <v>0.25</v>
      </c>
      <c r="G604" s="16" t="n">
        <f aca="false">Parametros!$B$4</f>
        <v>28681</v>
      </c>
      <c r="H604" s="15" t="n">
        <f aca="false">INDEX(Clientes!$E$4:$E$15,MATCH(B604,Clientes!$A$4:$A$15,0))</f>
        <v>1</v>
      </c>
      <c r="I604" s="16" t="n">
        <f aca="false">ROUND(F604*G604*H604,0)</f>
        <v>7170</v>
      </c>
    </row>
    <row r="605" customFormat="false" ht="15" hidden="false" customHeight="false" outlineLevel="0" collapsed="false">
      <c r="A605" s="14" t="n">
        <v>46082</v>
      </c>
      <c r="B605" s="6" t="s">
        <v>33</v>
      </c>
      <c r="C605" s="6" t="s">
        <v>67</v>
      </c>
      <c r="D605" s="0" t="str">
        <f aca="false">INDEX(Clientes!$B$4:$B$15,MATCH(B605,Clientes!$A$4:$A$15,0))</f>
        <v>Transportes Rápidos del Valle</v>
      </c>
      <c r="E605" s="0" t="str">
        <f aca="false">INDEX(Catalogo_Servicios!$C$4:$C$24,MATCH(C605,Catalogo_Servicios!$A$4:$A$24,0))</f>
        <v>Cálculo de planillas y cargas sociales (CCSS/INS)</v>
      </c>
      <c r="F605" s="15" t="n">
        <v>6.5</v>
      </c>
      <c r="G605" s="16" t="n">
        <f aca="false">Parametros!$B$4</f>
        <v>28681</v>
      </c>
      <c r="H605" s="15" t="n">
        <f aca="false">INDEX(Clientes!$E$4:$E$15,MATCH(B605,Clientes!$A$4:$A$15,0))</f>
        <v>1</v>
      </c>
      <c r="I605" s="16" t="n">
        <f aca="false">ROUND(F605*G605*H605,0)</f>
        <v>186427</v>
      </c>
    </row>
    <row r="606" customFormat="false" ht="15" hidden="false" customHeight="false" outlineLevel="0" collapsed="false">
      <c r="A606" s="14" t="n">
        <v>46082</v>
      </c>
      <c r="B606" s="6" t="s">
        <v>34</v>
      </c>
      <c r="C606" s="6" t="s">
        <v>69</v>
      </c>
      <c r="D606" s="0" t="str">
        <f aca="false">INDEX(Clientes!$B$4:$B$15,MATCH(B606,Clientes!$A$4:$A$15,0))</f>
        <v>Boutique Luna Nueva</v>
      </c>
      <c r="E606" s="0" t="str">
        <f aca="false">INDEX(Catalogo_Servicios!$C$4:$C$24,MATCH(C606,Catalogo_Servicios!$A$4:$A$24,0))</f>
        <v>Declaración anual de renta (D-101 / D-105)</v>
      </c>
      <c r="F606" s="15" t="n">
        <v>1.75</v>
      </c>
      <c r="G606" s="16" t="n">
        <f aca="false">Parametros!$B$4</f>
        <v>28681</v>
      </c>
      <c r="H606" s="15" t="n">
        <f aca="false">INDEX(Clientes!$E$4:$E$15,MATCH(B606,Clientes!$A$4:$A$15,0))</f>
        <v>1.15</v>
      </c>
      <c r="I606" s="16" t="n">
        <f aca="false">ROUND(F606*G606*H606,0)</f>
        <v>57721</v>
      </c>
    </row>
    <row r="607" customFormat="false" ht="15" hidden="false" customHeight="false" outlineLevel="0" collapsed="false">
      <c r="A607" s="14" t="n">
        <v>46082</v>
      </c>
      <c r="B607" s="6" t="s">
        <v>35</v>
      </c>
      <c r="C607" s="6" t="s">
        <v>65</v>
      </c>
      <c r="D607" s="0" t="str">
        <f aca="false">INDEX(Clientes!$B$4:$B$15,MATCH(B607,Clientes!$A$4:$A$15,0))</f>
        <v>Taller Mecánico Hermanos Mora</v>
      </c>
      <c r="E607" s="0" t="str">
        <f aca="false">INDEX(Catalogo_Servicios!$C$4:$C$24,MATCH(C607,Catalogo_Servicios!$A$4:$A$24,0))</f>
        <v>Declaración mensual de IVA (D-104)</v>
      </c>
      <c r="F607" s="15" t="n">
        <v>0.75</v>
      </c>
      <c r="G607" s="16" t="n">
        <f aca="false">Parametros!$B$4</f>
        <v>28681</v>
      </c>
      <c r="H607" s="15" t="n">
        <f aca="false">INDEX(Clientes!$E$4:$E$15,MATCH(B607,Clientes!$A$4:$A$15,0))</f>
        <v>1</v>
      </c>
      <c r="I607" s="16" t="n">
        <f aca="false">ROUND(F607*G607*H607,0)</f>
        <v>21511</v>
      </c>
    </row>
    <row r="608" customFormat="false" ht="15" hidden="false" customHeight="false" outlineLevel="0" collapsed="false">
      <c r="A608" s="14" t="n">
        <v>46082</v>
      </c>
      <c r="B608" s="6" t="s">
        <v>35</v>
      </c>
      <c r="C608" s="6" t="s">
        <v>69</v>
      </c>
      <c r="D608" s="0" t="str">
        <f aca="false">INDEX(Clientes!$B$4:$B$15,MATCH(B608,Clientes!$A$4:$A$15,0))</f>
        <v>Taller Mecánico Hermanos Mora</v>
      </c>
      <c r="E608" s="0" t="str">
        <f aca="false">INDEX(Catalogo_Servicios!$C$4:$C$24,MATCH(C608,Catalogo_Servicios!$A$4:$A$24,0))</f>
        <v>Declaración anual de renta (D-101 / D-105)</v>
      </c>
      <c r="F608" s="15" t="n">
        <v>1.75</v>
      </c>
      <c r="G608" s="16" t="n">
        <f aca="false">Parametros!$B$4</f>
        <v>28681</v>
      </c>
      <c r="H608" s="15" t="n">
        <f aca="false">INDEX(Clientes!$E$4:$E$15,MATCH(B608,Clientes!$A$4:$A$15,0))</f>
        <v>1</v>
      </c>
      <c r="I608" s="16" t="n">
        <f aca="false">ROUND(F608*G608*H608,0)</f>
        <v>50192</v>
      </c>
    </row>
    <row r="609" customFormat="false" ht="15" hidden="false" customHeight="false" outlineLevel="0" collapsed="false">
      <c r="A609" s="14" t="n">
        <v>46082</v>
      </c>
      <c r="B609" s="6" t="s">
        <v>36</v>
      </c>
      <c r="C609" s="6" t="s">
        <v>65</v>
      </c>
      <c r="D609" s="0" t="str">
        <f aca="false">INDEX(Clientes!$B$4:$B$15,MATCH(B609,Clientes!$A$4:$A$15,0))</f>
        <v>Agroservicios Cartago</v>
      </c>
      <c r="E609" s="0" t="str">
        <f aca="false">INDEX(Catalogo_Servicios!$C$4:$C$24,MATCH(C609,Catalogo_Servicios!$A$4:$A$24,0))</f>
        <v>Declaración mensual de IVA (D-104)</v>
      </c>
      <c r="F609" s="15" t="n">
        <v>1</v>
      </c>
      <c r="G609" s="16" t="n">
        <f aca="false">Parametros!$B$4</f>
        <v>28681</v>
      </c>
      <c r="H609" s="15" t="n">
        <f aca="false">INDEX(Clientes!$E$4:$E$15,MATCH(B609,Clientes!$A$4:$A$15,0))</f>
        <v>1</v>
      </c>
      <c r="I609" s="16" t="n">
        <f aca="false">ROUND(F609*G609*H609,0)</f>
        <v>28681</v>
      </c>
    </row>
    <row r="610" customFormat="false" ht="15" hidden="false" customHeight="false" outlineLevel="0" collapsed="false">
      <c r="A610" s="14" t="n">
        <v>46082</v>
      </c>
      <c r="B610" s="6" t="s">
        <v>36</v>
      </c>
      <c r="C610" s="6" t="s">
        <v>66</v>
      </c>
      <c r="D610" s="0" t="str">
        <f aca="false">INDEX(Clientes!$B$4:$B$15,MATCH(B610,Clientes!$A$4:$A$15,0))</f>
        <v>Agroservicios Cartago</v>
      </c>
      <c r="E610" s="0" t="str">
        <f aca="false">INDEX(Catalogo_Servicios!$C$4:$C$24,MATCH(C610,Catalogo_Servicios!$A$4:$A$24,0))</f>
        <v>Declaración mensual de retenciones (D-103)</v>
      </c>
      <c r="F610" s="15" t="n">
        <v>0.25</v>
      </c>
      <c r="G610" s="16" t="n">
        <f aca="false">Parametros!$B$4</f>
        <v>28681</v>
      </c>
      <c r="H610" s="15" t="n">
        <f aca="false">INDEX(Clientes!$E$4:$E$15,MATCH(B610,Clientes!$A$4:$A$15,0))</f>
        <v>1</v>
      </c>
      <c r="I610" s="16" t="n">
        <f aca="false">ROUND(F610*G610*H610,0)</f>
        <v>7170</v>
      </c>
    </row>
    <row r="611" customFormat="false" ht="15" hidden="false" customHeight="false" outlineLevel="0" collapsed="false">
      <c r="A611" s="14" t="n">
        <v>46082</v>
      </c>
      <c r="B611" s="6" t="s">
        <v>36</v>
      </c>
      <c r="C611" s="6" t="s">
        <v>69</v>
      </c>
      <c r="D611" s="0" t="str">
        <f aca="false">INDEX(Clientes!$B$4:$B$15,MATCH(B611,Clientes!$A$4:$A$15,0))</f>
        <v>Agroservicios Cartago</v>
      </c>
      <c r="E611" s="0" t="str">
        <f aca="false">INDEX(Catalogo_Servicios!$C$4:$C$24,MATCH(C611,Catalogo_Servicios!$A$4:$A$24,0))</f>
        <v>Declaración anual de renta (D-101 / D-105)</v>
      </c>
      <c r="F611" s="15" t="n">
        <v>1.5</v>
      </c>
      <c r="G611" s="16" t="n">
        <f aca="false">Parametros!$B$4</f>
        <v>28681</v>
      </c>
      <c r="H611" s="15" t="n">
        <f aca="false">INDEX(Clientes!$E$4:$E$15,MATCH(B611,Clientes!$A$4:$A$15,0))</f>
        <v>1</v>
      </c>
      <c r="I611" s="16" t="n">
        <f aca="false">ROUND(F611*G611*H611,0)</f>
        <v>43022</v>
      </c>
    </row>
    <row r="612" customFormat="false" ht="15" hidden="false" customHeight="false" outlineLevel="0" collapsed="false">
      <c r="A612" s="14" t="n">
        <v>46082</v>
      </c>
      <c r="B612" s="6" t="s">
        <v>37</v>
      </c>
      <c r="C612" s="6" t="s">
        <v>69</v>
      </c>
      <c r="D612" s="0" t="str">
        <f aca="false">INDEX(Clientes!$B$4:$B$15,MATCH(B612,Clientes!$A$4:$A$15,0))</f>
        <v>Estudio Fotográfico Lumière</v>
      </c>
      <c r="E612" s="0" t="str">
        <f aca="false">INDEX(Catalogo_Servicios!$C$4:$C$24,MATCH(C612,Catalogo_Servicios!$A$4:$A$24,0))</f>
        <v>Declaración anual de renta (D-101 / D-105)</v>
      </c>
      <c r="F612" s="15" t="n">
        <v>1.5</v>
      </c>
      <c r="G612" s="16" t="n">
        <f aca="false">Parametros!$B$4</f>
        <v>28681</v>
      </c>
      <c r="H612" s="15" t="n">
        <f aca="false">INDEX(Clientes!$E$4:$E$15,MATCH(B612,Clientes!$A$4:$A$15,0))</f>
        <v>1.1</v>
      </c>
      <c r="I612" s="16" t="n">
        <f aca="false">ROUND(F612*G612*H612,0)</f>
        <v>47324</v>
      </c>
    </row>
    <row r="613" customFormat="false" ht="15" hidden="false" customHeight="false" outlineLevel="0" collapsed="false">
      <c r="A613" s="14" t="n">
        <v>46082</v>
      </c>
      <c r="B613" s="6" t="s">
        <v>38</v>
      </c>
      <c r="C613" s="6" t="s">
        <v>65</v>
      </c>
      <c r="D613" s="0" t="str">
        <f aca="false">INDEX(Clientes!$B$4:$B$15,MATCH(B613,Clientes!$A$4:$A$15,0))</f>
        <v>Panadería La Espiga</v>
      </c>
      <c r="E613" s="0" t="str">
        <f aca="false">INDEX(Catalogo_Servicios!$C$4:$C$24,MATCH(C613,Catalogo_Servicios!$A$4:$A$24,0))</f>
        <v>Declaración mensual de IVA (D-104)</v>
      </c>
      <c r="F613" s="15" t="n">
        <v>1</v>
      </c>
      <c r="G613" s="16" t="n">
        <f aca="false">Parametros!$B$4</f>
        <v>28681</v>
      </c>
      <c r="H613" s="15" t="n">
        <f aca="false">INDEX(Clientes!$E$4:$E$15,MATCH(B613,Clientes!$A$4:$A$15,0))</f>
        <v>1</v>
      </c>
      <c r="I613" s="16" t="n">
        <f aca="false">ROUND(F613*G613*H613,0)</f>
        <v>28681</v>
      </c>
    </row>
    <row r="614" customFormat="false" ht="15" hidden="false" customHeight="false" outlineLevel="0" collapsed="false">
      <c r="A614" s="14" t="n">
        <v>46082</v>
      </c>
      <c r="B614" s="6" t="s">
        <v>38</v>
      </c>
      <c r="C614" s="6" t="s">
        <v>67</v>
      </c>
      <c r="D614" s="0" t="str">
        <f aca="false">INDEX(Clientes!$B$4:$B$15,MATCH(B614,Clientes!$A$4:$A$15,0))</f>
        <v>Panadería La Espiga</v>
      </c>
      <c r="E614" s="0" t="str">
        <f aca="false">INDEX(Catalogo_Servicios!$C$4:$C$24,MATCH(C614,Catalogo_Servicios!$A$4:$A$24,0))</f>
        <v>Cálculo de planillas y cargas sociales (CCSS/INS)</v>
      </c>
      <c r="F614" s="15" t="n">
        <v>7</v>
      </c>
      <c r="G614" s="16" t="n">
        <f aca="false">Parametros!$B$4</f>
        <v>28681</v>
      </c>
      <c r="H614" s="15" t="n">
        <f aca="false">INDEX(Clientes!$E$4:$E$15,MATCH(B614,Clientes!$A$4:$A$15,0))</f>
        <v>1</v>
      </c>
      <c r="I614" s="16" t="n">
        <f aca="false">ROUND(F614*G614*H614,0)</f>
        <v>200767</v>
      </c>
    </row>
    <row r="615" customFormat="false" ht="15" hidden="false" customHeight="false" outlineLevel="0" collapsed="false">
      <c r="A615" s="14" t="n">
        <v>46082</v>
      </c>
      <c r="B615" s="6" t="s">
        <v>39</v>
      </c>
      <c r="C615" s="6" t="s">
        <v>69</v>
      </c>
      <c r="D615" s="0" t="str">
        <f aca="false">INDEX(Clientes!$B$4:$B$15,MATCH(B615,Clientes!$A$4:$A$15,0))</f>
        <v>Consultores TIC Pura Vida</v>
      </c>
      <c r="E615" s="0" t="str">
        <f aca="false">INDEX(Catalogo_Servicios!$C$4:$C$24,MATCH(C615,Catalogo_Servicios!$A$4:$A$24,0))</f>
        <v>Declaración anual de renta (D-101 / D-105)</v>
      </c>
      <c r="F615" s="15" t="n">
        <v>1.75</v>
      </c>
      <c r="G615" s="16" t="n">
        <f aca="false">Parametros!$B$4</f>
        <v>28681</v>
      </c>
      <c r="H615" s="15" t="n">
        <f aca="false">INDEX(Clientes!$E$4:$E$15,MATCH(B615,Clientes!$A$4:$A$15,0))</f>
        <v>1</v>
      </c>
      <c r="I615" s="16" t="n">
        <f aca="false">ROUND(F615*G615*H615,0)</f>
        <v>50192</v>
      </c>
    </row>
    <row r="616" customFormat="false" ht="15" hidden="false" customHeight="false" outlineLevel="0" collapsed="false">
      <c r="A616" s="14" t="n">
        <v>46082</v>
      </c>
      <c r="B616" s="6" t="s">
        <v>40</v>
      </c>
      <c r="C616" s="6" t="s">
        <v>68</v>
      </c>
      <c r="D616" s="0" t="str">
        <f aca="false">INDEX(Clientes!$B$4:$B$15,MATCH(B616,Clientes!$A$4:$A$15,0))</f>
        <v>Veterinaria Mascotas Felices</v>
      </c>
      <c r="E616" s="0" t="str">
        <f aca="false">INDEX(Catalogo_Servicios!$C$4:$C$24,MATCH(C616,Catalogo_Servicios!$A$4:$A$24,0))</f>
        <v>Asesoría contable, financiera y tributaria</v>
      </c>
      <c r="F616" s="15" t="n">
        <v>1</v>
      </c>
      <c r="G616" s="16" t="n">
        <f aca="false">Parametros!$B$4</f>
        <v>28681</v>
      </c>
      <c r="H616" s="15" t="n">
        <f aca="false">INDEX(Clientes!$E$4:$E$15,MATCH(B616,Clientes!$A$4:$A$15,0))</f>
        <v>1.05</v>
      </c>
      <c r="I616" s="16" t="n">
        <f aca="false">ROUND(F616*G616*H616,0)</f>
        <v>30115</v>
      </c>
    </row>
    <row r="617" customFormat="false" ht="15" hidden="false" customHeight="false" outlineLevel="0" collapsed="false">
      <c r="A617" s="14" t="n">
        <v>46082</v>
      </c>
      <c r="B617" s="6" t="s">
        <v>40</v>
      </c>
      <c r="C617" s="6" t="s">
        <v>69</v>
      </c>
      <c r="D617" s="0" t="str">
        <f aca="false">INDEX(Clientes!$B$4:$B$15,MATCH(B617,Clientes!$A$4:$A$15,0))</f>
        <v>Veterinaria Mascotas Felices</v>
      </c>
      <c r="E617" s="0" t="str">
        <f aca="false">INDEX(Catalogo_Servicios!$C$4:$C$24,MATCH(C617,Catalogo_Servicios!$A$4:$A$24,0))</f>
        <v>Declaración anual de renta (D-101 / D-105)</v>
      </c>
      <c r="F617" s="15" t="n">
        <v>1.5</v>
      </c>
      <c r="G617" s="16" t="n">
        <f aca="false">Parametros!$B$4</f>
        <v>28681</v>
      </c>
      <c r="H617" s="15" t="n">
        <f aca="false">INDEX(Clientes!$E$4:$E$15,MATCH(B617,Clientes!$A$4:$A$15,0))</f>
        <v>1.05</v>
      </c>
      <c r="I617" s="16" t="n">
        <f aca="false">ROUND(F617*G617*H617,0)</f>
        <v>45173</v>
      </c>
    </row>
    <row r="618" customFormat="false" ht="15" hidden="false" customHeight="false" outlineLevel="0" collapsed="false">
      <c r="A618" s="14" t="n">
        <v>46113</v>
      </c>
      <c r="B618" s="6" t="s">
        <v>29</v>
      </c>
      <c r="C618" s="6" t="s">
        <v>64</v>
      </c>
      <c r="D618" s="0" t="str">
        <f aca="false">INDEX(Clientes!$B$4:$B$15,MATCH(B618,Clientes!$A$4:$A$15,0))</f>
        <v>Distribuidora Los Andes S.A.</v>
      </c>
      <c r="E618" s="0" t="str">
        <f aca="false">INDEX(Catalogo_Servicios!$C$4:$C$24,MATCH(C618,Catalogo_Servicios!$A$4:$A$24,0))</f>
        <v>Estados financieros mensuales</v>
      </c>
      <c r="F618" s="15" t="n">
        <v>3</v>
      </c>
      <c r="G618" s="16" t="n">
        <f aca="false">Parametros!$B$4</f>
        <v>28681</v>
      </c>
      <c r="H618" s="15" t="n">
        <f aca="false">INDEX(Clientes!$E$4:$E$15,MATCH(B618,Clientes!$A$4:$A$15,0))</f>
        <v>1</v>
      </c>
      <c r="I618" s="16" t="n">
        <f aca="false">ROUND(F618*G618*H618,0)</f>
        <v>86043</v>
      </c>
    </row>
    <row r="619" customFormat="false" ht="15" hidden="false" customHeight="false" outlineLevel="0" collapsed="false">
      <c r="A619" s="14" t="n">
        <v>46113</v>
      </c>
      <c r="B619" s="6" t="s">
        <v>29</v>
      </c>
      <c r="C619" s="6" t="s">
        <v>65</v>
      </c>
      <c r="D619" s="0" t="str">
        <f aca="false">INDEX(Clientes!$B$4:$B$15,MATCH(B619,Clientes!$A$4:$A$15,0))</f>
        <v>Distribuidora Los Andes S.A.</v>
      </c>
      <c r="E619" s="0" t="str">
        <f aca="false">INDEX(Catalogo_Servicios!$C$4:$C$24,MATCH(C619,Catalogo_Servicios!$A$4:$A$24,0))</f>
        <v>Declaración mensual de IVA (D-104)</v>
      </c>
      <c r="F619" s="15" t="n">
        <v>0.75</v>
      </c>
      <c r="G619" s="16" t="n">
        <f aca="false">Parametros!$B$4</f>
        <v>28681</v>
      </c>
      <c r="H619" s="15" t="n">
        <f aca="false">INDEX(Clientes!$E$4:$E$15,MATCH(B619,Clientes!$A$4:$A$15,0))</f>
        <v>1</v>
      </c>
      <c r="I619" s="16" t="n">
        <f aca="false">ROUND(F619*G619*H619,0)</f>
        <v>21511</v>
      </c>
    </row>
    <row r="620" customFormat="false" ht="15" hidden="false" customHeight="false" outlineLevel="0" collapsed="false">
      <c r="A620" s="14" t="n">
        <v>46113</v>
      </c>
      <c r="B620" s="6" t="s">
        <v>29</v>
      </c>
      <c r="C620" s="6" t="s">
        <v>66</v>
      </c>
      <c r="D620" s="0" t="str">
        <f aca="false">INDEX(Clientes!$B$4:$B$15,MATCH(B620,Clientes!$A$4:$A$15,0))</f>
        <v>Distribuidora Los Andes S.A.</v>
      </c>
      <c r="E620" s="0" t="str">
        <f aca="false">INDEX(Catalogo_Servicios!$C$4:$C$24,MATCH(C620,Catalogo_Servicios!$A$4:$A$24,0))</f>
        <v>Declaración mensual de retenciones (D-103)</v>
      </c>
      <c r="F620" s="15" t="n">
        <v>0.25</v>
      </c>
      <c r="G620" s="16" t="n">
        <f aca="false">Parametros!$B$4</f>
        <v>28681</v>
      </c>
      <c r="H620" s="15" t="n">
        <f aca="false">INDEX(Clientes!$E$4:$E$15,MATCH(B620,Clientes!$A$4:$A$15,0))</f>
        <v>1</v>
      </c>
      <c r="I620" s="16" t="n">
        <f aca="false">ROUND(F620*G620*H620,0)</f>
        <v>7170</v>
      </c>
    </row>
    <row r="621" customFormat="false" ht="15" hidden="false" customHeight="false" outlineLevel="0" collapsed="false">
      <c r="A621" s="14" t="n">
        <v>46113</v>
      </c>
      <c r="B621" s="6" t="s">
        <v>29</v>
      </c>
      <c r="C621" s="6" t="s">
        <v>67</v>
      </c>
      <c r="D621" s="0" t="str">
        <f aca="false">INDEX(Clientes!$B$4:$B$15,MATCH(B621,Clientes!$A$4:$A$15,0))</f>
        <v>Distribuidora Los Andes S.A.</v>
      </c>
      <c r="E621" s="0" t="str">
        <f aca="false">INDEX(Catalogo_Servicios!$C$4:$C$24,MATCH(C621,Catalogo_Servicios!$A$4:$A$24,0))</f>
        <v>Cálculo de planillas y cargas sociales (CCSS/INS)</v>
      </c>
      <c r="F621" s="15" t="n">
        <v>21.5</v>
      </c>
      <c r="G621" s="16" t="n">
        <f aca="false">Parametros!$B$4</f>
        <v>28681</v>
      </c>
      <c r="H621" s="15" t="n">
        <f aca="false">INDEX(Clientes!$E$4:$E$15,MATCH(B621,Clientes!$A$4:$A$15,0))</f>
        <v>1</v>
      </c>
      <c r="I621" s="16" t="n">
        <f aca="false">ROUND(F621*G621*H621,0)</f>
        <v>616642</v>
      </c>
    </row>
    <row r="622" customFormat="false" ht="15" hidden="false" customHeight="false" outlineLevel="0" collapsed="false">
      <c r="A622" s="14" t="n">
        <v>46113</v>
      </c>
      <c r="B622" s="6" t="s">
        <v>30</v>
      </c>
      <c r="C622" s="6" t="s">
        <v>64</v>
      </c>
      <c r="D622" s="0" t="str">
        <f aca="false">INDEX(Clientes!$B$4:$B$15,MATCH(B622,Clientes!$A$4:$A$15,0))</f>
        <v>Ferretería El Tornillo</v>
      </c>
      <c r="E622" s="0" t="str">
        <f aca="false">INDEX(Catalogo_Servicios!$C$4:$C$24,MATCH(C622,Catalogo_Servicios!$A$4:$A$24,0))</f>
        <v>Estados financieros mensuales</v>
      </c>
      <c r="F622" s="15" t="n">
        <v>3</v>
      </c>
      <c r="G622" s="16" t="n">
        <f aca="false">Parametros!$B$4</f>
        <v>28681</v>
      </c>
      <c r="H622" s="15" t="n">
        <f aca="false">INDEX(Clientes!$E$4:$E$15,MATCH(B622,Clientes!$A$4:$A$15,0))</f>
        <v>1</v>
      </c>
      <c r="I622" s="16" t="n">
        <f aca="false">ROUND(F622*G622*H622,0)</f>
        <v>86043</v>
      </c>
    </row>
    <row r="623" customFormat="false" ht="15" hidden="false" customHeight="false" outlineLevel="0" collapsed="false">
      <c r="A623" s="14" t="n">
        <v>46113</v>
      </c>
      <c r="B623" s="6" t="s">
        <v>30</v>
      </c>
      <c r="C623" s="6" t="s">
        <v>65</v>
      </c>
      <c r="D623" s="0" t="str">
        <f aca="false">INDEX(Clientes!$B$4:$B$15,MATCH(B623,Clientes!$A$4:$A$15,0))</f>
        <v>Ferretería El Tornillo</v>
      </c>
      <c r="E623" s="0" t="str">
        <f aca="false">INDEX(Catalogo_Servicios!$C$4:$C$24,MATCH(C623,Catalogo_Servicios!$A$4:$A$24,0))</f>
        <v>Declaración mensual de IVA (D-104)</v>
      </c>
      <c r="F623" s="15" t="n">
        <v>0.75</v>
      </c>
      <c r="G623" s="16" t="n">
        <f aca="false">Parametros!$B$4</f>
        <v>28681</v>
      </c>
      <c r="H623" s="15" t="n">
        <f aca="false">INDEX(Clientes!$E$4:$E$15,MATCH(B623,Clientes!$A$4:$A$15,0))</f>
        <v>1</v>
      </c>
      <c r="I623" s="16" t="n">
        <f aca="false">ROUND(F623*G623*H623,0)</f>
        <v>21511</v>
      </c>
    </row>
    <row r="624" customFormat="false" ht="15" hidden="false" customHeight="false" outlineLevel="0" collapsed="false">
      <c r="A624" s="14" t="n">
        <v>46113</v>
      </c>
      <c r="B624" s="6" t="s">
        <v>30</v>
      </c>
      <c r="C624" s="6" t="s">
        <v>66</v>
      </c>
      <c r="D624" s="0" t="str">
        <f aca="false">INDEX(Clientes!$B$4:$B$15,MATCH(B624,Clientes!$A$4:$A$15,0))</f>
        <v>Ferretería El Tornillo</v>
      </c>
      <c r="E624" s="0" t="str">
        <f aca="false">INDEX(Catalogo_Servicios!$C$4:$C$24,MATCH(C624,Catalogo_Servicios!$A$4:$A$24,0))</f>
        <v>Declaración mensual de retenciones (D-103)</v>
      </c>
      <c r="F624" s="15" t="n">
        <v>0.25</v>
      </c>
      <c r="G624" s="16" t="n">
        <f aca="false">Parametros!$B$4</f>
        <v>28681</v>
      </c>
      <c r="H624" s="15" t="n">
        <f aca="false">INDEX(Clientes!$E$4:$E$15,MATCH(B624,Clientes!$A$4:$A$15,0))</f>
        <v>1</v>
      </c>
      <c r="I624" s="16" t="n">
        <f aca="false">ROUND(F624*G624*H624,0)</f>
        <v>7170</v>
      </c>
    </row>
    <row r="625" customFormat="false" ht="15" hidden="false" customHeight="false" outlineLevel="0" collapsed="false">
      <c r="A625" s="14" t="n">
        <v>46113</v>
      </c>
      <c r="B625" s="6" t="s">
        <v>31</v>
      </c>
      <c r="C625" s="6" t="s">
        <v>65</v>
      </c>
      <c r="D625" s="0" t="str">
        <f aca="false">INDEX(Clientes!$B$4:$B$15,MATCH(B625,Clientes!$A$4:$A$15,0))</f>
        <v>Clínica Dental Sonrisa</v>
      </c>
      <c r="E625" s="0" t="str">
        <f aca="false">INDEX(Catalogo_Servicios!$C$4:$C$24,MATCH(C625,Catalogo_Servicios!$A$4:$A$24,0))</f>
        <v>Declaración mensual de IVA (D-104)</v>
      </c>
      <c r="F625" s="15" t="n">
        <v>1</v>
      </c>
      <c r="G625" s="16" t="n">
        <f aca="false">Parametros!$B$4</f>
        <v>28681</v>
      </c>
      <c r="H625" s="15" t="n">
        <f aca="false">INDEX(Clientes!$E$4:$E$15,MATCH(B625,Clientes!$A$4:$A$15,0))</f>
        <v>1.1</v>
      </c>
      <c r="I625" s="16" t="n">
        <f aca="false">ROUND(F625*G625*H625,0)</f>
        <v>31549</v>
      </c>
    </row>
    <row r="626" customFormat="false" ht="15" hidden="false" customHeight="false" outlineLevel="0" collapsed="false">
      <c r="A626" s="14" t="n">
        <v>46113</v>
      </c>
      <c r="B626" s="6" t="s">
        <v>32</v>
      </c>
      <c r="C626" s="6" t="s">
        <v>65</v>
      </c>
      <c r="D626" s="0" t="str">
        <f aca="false">INDEX(Clientes!$B$4:$B$15,MATCH(B626,Clientes!$A$4:$A$15,0))</f>
        <v>Soda y Restaurante Doña Lela</v>
      </c>
      <c r="E626" s="0" t="str">
        <f aca="false">INDEX(Catalogo_Servicios!$C$4:$C$24,MATCH(C626,Catalogo_Servicios!$A$4:$A$24,0))</f>
        <v>Declaración mensual de IVA (D-104)</v>
      </c>
      <c r="F626" s="15" t="n">
        <v>1</v>
      </c>
      <c r="G626" s="16" t="n">
        <f aca="false">Parametros!$B$4</f>
        <v>28681</v>
      </c>
      <c r="H626" s="15" t="n">
        <f aca="false">INDEX(Clientes!$E$4:$E$15,MATCH(B626,Clientes!$A$4:$A$15,0))</f>
        <v>1</v>
      </c>
      <c r="I626" s="16" t="n">
        <f aca="false">ROUND(F626*G626*H626,0)</f>
        <v>28681</v>
      </c>
    </row>
    <row r="627" customFormat="false" ht="15" hidden="false" customHeight="false" outlineLevel="0" collapsed="false">
      <c r="A627" s="14" t="n">
        <v>46113</v>
      </c>
      <c r="B627" s="6" t="s">
        <v>33</v>
      </c>
      <c r="C627" s="6" t="s">
        <v>65</v>
      </c>
      <c r="D627" s="0" t="str">
        <f aca="false">INDEX(Clientes!$B$4:$B$15,MATCH(B627,Clientes!$A$4:$A$15,0))</f>
        <v>Transportes Rápidos del Valle</v>
      </c>
      <c r="E627" s="0" t="str">
        <f aca="false">INDEX(Catalogo_Servicios!$C$4:$C$24,MATCH(C627,Catalogo_Servicios!$A$4:$A$24,0))</f>
        <v>Declaración mensual de IVA (D-104)</v>
      </c>
      <c r="F627" s="15" t="n">
        <v>1</v>
      </c>
      <c r="G627" s="16" t="n">
        <f aca="false">Parametros!$B$4</f>
        <v>28681</v>
      </c>
      <c r="H627" s="15" t="n">
        <f aca="false">INDEX(Clientes!$E$4:$E$15,MATCH(B627,Clientes!$A$4:$A$15,0))</f>
        <v>1</v>
      </c>
      <c r="I627" s="16" t="n">
        <f aca="false">ROUND(F627*G627*H627,0)</f>
        <v>28681</v>
      </c>
    </row>
    <row r="628" customFormat="false" ht="15" hidden="false" customHeight="false" outlineLevel="0" collapsed="false">
      <c r="A628" s="14" t="n">
        <v>46113</v>
      </c>
      <c r="B628" s="6" t="s">
        <v>33</v>
      </c>
      <c r="C628" s="6" t="s">
        <v>66</v>
      </c>
      <c r="D628" s="0" t="str">
        <f aca="false">INDEX(Clientes!$B$4:$B$15,MATCH(B628,Clientes!$A$4:$A$15,0))</f>
        <v>Transportes Rápidos del Valle</v>
      </c>
      <c r="E628" s="0" t="str">
        <f aca="false">INDEX(Catalogo_Servicios!$C$4:$C$24,MATCH(C628,Catalogo_Servicios!$A$4:$A$24,0))</f>
        <v>Declaración mensual de retenciones (D-103)</v>
      </c>
      <c r="F628" s="15" t="n">
        <v>0.25</v>
      </c>
      <c r="G628" s="16" t="n">
        <f aca="false">Parametros!$B$4</f>
        <v>28681</v>
      </c>
      <c r="H628" s="15" t="n">
        <f aca="false">INDEX(Clientes!$E$4:$E$15,MATCH(B628,Clientes!$A$4:$A$15,0))</f>
        <v>1</v>
      </c>
      <c r="I628" s="16" t="n">
        <f aca="false">ROUND(F628*G628*H628,0)</f>
        <v>7170</v>
      </c>
    </row>
    <row r="629" customFormat="false" ht="15" hidden="false" customHeight="false" outlineLevel="0" collapsed="false">
      <c r="A629" s="14" t="n">
        <v>46113</v>
      </c>
      <c r="B629" s="6" t="s">
        <v>33</v>
      </c>
      <c r="C629" s="6" t="s">
        <v>67</v>
      </c>
      <c r="D629" s="0" t="str">
        <f aca="false">INDEX(Clientes!$B$4:$B$15,MATCH(B629,Clientes!$A$4:$A$15,0))</f>
        <v>Transportes Rápidos del Valle</v>
      </c>
      <c r="E629" s="0" t="str">
        <f aca="false">INDEX(Catalogo_Servicios!$C$4:$C$24,MATCH(C629,Catalogo_Servicios!$A$4:$A$24,0))</f>
        <v>Cálculo de planillas y cargas sociales (CCSS/INS)</v>
      </c>
      <c r="F629" s="15" t="n">
        <v>6.5</v>
      </c>
      <c r="G629" s="16" t="n">
        <f aca="false">Parametros!$B$4</f>
        <v>28681</v>
      </c>
      <c r="H629" s="15" t="n">
        <f aca="false">INDEX(Clientes!$E$4:$E$15,MATCH(B629,Clientes!$A$4:$A$15,0))</f>
        <v>1</v>
      </c>
      <c r="I629" s="16" t="n">
        <f aca="false">ROUND(F629*G629*H629,0)</f>
        <v>186427</v>
      </c>
    </row>
    <row r="630" customFormat="false" ht="15" hidden="false" customHeight="false" outlineLevel="0" collapsed="false">
      <c r="A630" s="14" t="n">
        <v>46113</v>
      </c>
      <c r="B630" s="6" t="s">
        <v>34</v>
      </c>
      <c r="C630" s="6" t="s">
        <v>75</v>
      </c>
      <c r="D630" s="0" t="str">
        <f aca="false">INDEX(Clientes!$B$4:$B$15,MATCH(B630,Clientes!$A$4:$A$15,0))</f>
        <v>Boutique Luna Nueva</v>
      </c>
      <c r="E630" s="0" t="str">
        <f aca="false">INDEX(Catalogo_Servicios!$C$4:$C$24,MATCH(C630,Catalogo_Servicios!$A$4:$A$24,0))</f>
        <v>Certificación para PYME / Régimen simplificado (MEIC)</v>
      </c>
      <c r="F630" s="15" t="n">
        <v>3</v>
      </c>
      <c r="G630" s="16" t="n">
        <f aca="false">Parametros!$B$4</f>
        <v>28681</v>
      </c>
      <c r="H630" s="15" t="n">
        <f aca="false">INDEX(Clientes!$E$4:$E$15,MATCH(B630,Clientes!$A$4:$A$15,0))</f>
        <v>1.15</v>
      </c>
      <c r="I630" s="16" t="n">
        <f aca="false">ROUND(F630*G630*H630,0)</f>
        <v>98949</v>
      </c>
    </row>
    <row r="631" customFormat="false" ht="15" hidden="false" customHeight="false" outlineLevel="0" collapsed="false">
      <c r="A631" s="14" t="n">
        <v>46113</v>
      </c>
      <c r="B631" s="6" t="s">
        <v>35</v>
      </c>
      <c r="C631" s="6" t="s">
        <v>68</v>
      </c>
      <c r="D631" s="0" t="str">
        <f aca="false">INDEX(Clientes!$B$4:$B$15,MATCH(B631,Clientes!$A$4:$A$15,0))</f>
        <v>Taller Mecánico Hermanos Mora</v>
      </c>
      <c r="E631" s="0" t="str">
        <f aca="false">INDEX(Catalogo_Servicios!$C$4:$C$24,MATCH(C631,Catalogo_Servicios!$A$4:$A$24,0))</f>
        <v>Asesoría contable, financiera y tributaria</v>
      </c>
      <c r="F631" s="15" t="n">
        <v>2</v>
      </c>
      <c r="G631" s="16" t="n">
        <f aca="false">Parametros!$B$4</f>
        <v>28681</v>
      </c>
      <c r="H631" s="15" t="n">
        <f aca="false">INDEX(Clientes!$E$4:$E$15,MATCH(B631,Clientes!$A$4:$A$15,0))</f>
        <v>1</v>
      </c>
      <c r="I631" s="16" t="n">
        <f aca="false">ROUND(F631*G631*H631,0)</f>
        <v>57362</v>
      </c>
    </row>
    <row r="632" customFormat="false" ht="15" hidden="false" customHeight="false" outlineLevel="0" collapsed="false">
      <c r="A632" s="14" t="n">
        <v>46113</v>
      </c>
      <c r="B632" s="6" t="s">
        <v>35</v>
      </c>
      <c r="C632" s="6" t="s">
        <v>65</v>
      </c>
      <c r="D632" s="0" t="str">
        <f aca="false">INDEX(Clientes!$B$4:$B$15,MATCH(B632,Clientes!$A$4:$A$15,0))</f>
        <v>Taller Mecánico Hermanos Mora</v>
      </c>
      <c r="E632" s="0" t="str">
        <f aca="false">INDEX(Catalogo_Servicios!$C$4:$C$24,MATCH(C632,Catalogo_Servicios!$A$4:$A$24,0))</f>
        <v>Declaración mensual de IVA (D-104)</v>
      </c>
      <c r="F632" s="15" t="n">
        <v>1</v>
      </c>
      <c r="G632" s="16" t="n">
        <f aca="false">Parametros!$B$4</f>
        <v>28681</v>
      </c>
      <c r="H632" s="15" t="n">
        <f aca="false">INDEX(Clientes!$E$4:$E$15,MATCH(B632,Clientes!$A$4:$A$15,0))</f>
        <v>1</v>
      </c>
      <c r="I632" s="16" t="n">
        <f aca="false">ROUND(F632*G632*H632,0)</f>
        <v>28681</v>
      </c>
    </row>
    <row r="633" customFormat="false" ht="15" hidden="false" customHeight="false" outlineLevel="0" collapsed="false">
      <c r="A633" s="14" t="n">
        <v>46113</v>
      </c>
      <c r="B633" s="6" t="s">
        <v>36</v>
      </c>
      <c r="C633" s="6" t="s">
        <v>65</v>
      </c>
      <c r="D633" s="0" t="str">
        <f aca="false">INDEX(Clientes!$B$4:$B$15,MATCH(B633,Clientes!$A$4:$A$15,0))</f>
        <v>Agroservicios Cartago</v>
      </c>
      <c r="E633" s="0" t="str">
        <f aca="false">INDEX(Catalogo_Servicios!$C$4:$C$24,MATCH(C633,Catalogo_Servicios!$A$4:$A$24,0))</f>
        <v>Declaración mensual de IVA (D-104)</v>
      </c>
      <c r="F633" s="15" t="n">
        <v>1</v>
      </c>
      <c r="G633" s="16" t="n">
        <f aca="false">Parametros!$B$4</f>
        <v>28681</v>
      </c>
      <c r="H633" s="15" t="n">
        <f aca="false">INDEX(Clientes!$E$4:$E$15,MATCH(B633,Clientes!$A$4:$A$15,0))</f>
        <v>1</v>
      </c>
      <c r="I633" s="16" t="n">
        <f aca="false">ROUND(F633*G633*H633,0)</f>
        <v>28681</v>
      </c>
    </row>
    <row r="634" customFormat="false" ht="15" hidden="false" customHeight="false" outlineLevel="0" collapsed="false">
      <c r="A634" s="14" t="n">
        <v>46113</v>
      </c>
      <c r="B634" s="6" t="s">
        <v>36</v>
      </c>
      <c r="C634" s="6" t="s">
        <v>66</v>
      </c>
      <c r="D634" s="0" t="str">
        <f aca="false">INDEX(Clientes!$B$4:$B$15,MATCH(B634,Clientes!$A$4:$A$15,0))</f>
        <v>Agroservicios Cartago</v>
      </c>
      <c r="E634" s="0" t="str">
        <f aca="false">INDEX(Catalogo_Servicios!$C$4:$C$24,MATCH(C634,Catalogo_Servicios!$A$4:$A$24,0))</f>
        <v>Declaración mensual de retenciones (D-103)</v>
      </c>
      <c r="F634" s="15" t="n">
        <v>0.25</v>
      </c>
      <c r="G634" s="16" t="n">
        <f aca="false">Parametros!$B$4</f>
        <v>28681</v>
      </c>
      <c r="H634" s="15" t="n">
        <f aca="false">INDEX(Clientes!$E$4:$E$15,MATCH(B634,Clientes!$A$4:$A$15,0))</f>
        <v>1</v>
      </c>
      <c r="I634" s="16" t="n">
        <f aca="false">ROUND(F634*G634*H634,0)</f>
        <v>7170</v>
      </c>
    </row>
    <row r="635" customFormat="false" ht="15" hidden="false" customHeight="false" outlineLevel="0" collapsed="false">
      <c r="A635" s="14" t="n">
        <v>46113</v>
      </c>
      <c r="B635" s="6" t="s">
        <v>38</v>
      </c>
      <c r="C635" s="6" t="s">
        <v>65</v>
      </c>
      <c r="D635" s="0" t="str">
        <f aca="false">INDEX(Clientes!$B$4:$B$15,MATCH(B635,Clientes!$A$4:$A$15,0))</f>
        <v>Panadería La Espiga</v>
      </c>
      <c r="E635" s="0" t="str">
        <f aca="false">INDEX(Catalogo_Servicios!$C$4:$C$24,MATCH(C635,Catalogo_Servicios!$A$4:$A$24,0))</f>
        <v>Declaración mensual de IVA (D-104)</v>
      </c>
      <c r="F635" s="15" t="n">
        <v>0.75</v>
      </c>
      <c r="G635" s="16" t="n">
        <f aca="false">Parametros!$B$4</f>
        <v>28681</v>
      </c>
      <c r="H635" s="15" t="n">
        <f aca="false">INDEX(Clientes!$E$4:$E$15,MATCH(B635,Clientes!$A$4:$A$15,0))</f>
        <v>1</v>
      </c>
      <c r="I635" s="16" t="n">
        <f aca="false">ROUND(F635*G635*H635,0)</f>
        <v>21511</v>
      </c>
    </row>
    <row r="636" customFormat="false" ht="15" hidden="false" customHeight="false" outlineLevel="0" collapsed="false">
      <c r="A636" s="14" t="n">
        <v>46113</v>
      </c>
      <c r="B636" s="6" t="s">
        <v>38</v>
      </c>
      <c r="C636" s="6" t="s">
        <v>67</v>
      </c>
      <c r="D636" s="0" t="str">
        <f aca="false">INDEX(Clientes!$B$4:$B$15,MATCH(B636,Clientes!$A$4:$A$15,0))</f>
        <v>Panadería La Espiga</v>
      </c>
      <c r="E636" s="0" t="str">
        <f aca="false">INDEX(Catalogo_Servicios!$C$4:$C$24,MATCH(C636,Catalogo_Servicios!$A$4:$A$24,0))</f>
        <v>Cálculo de planillas y cargas sociales (CCSS/INS)</v>
      </c>
      <c r="F636" s="15" t="n">
        <v>7</v>
      </c>
      <c r="G636" s="16" t="n">
        <f aca="false">Parametros!$B$4</f>
        <v>28681</v>
      </c>
      <c r="H636" s="15" t="n">
        <f aca="false">INDEX(Clientes!$E$4:$E$15,MATCH(B636,Clientes!$A$4:$A$15,0))</f>
        <v>1</v>
      </c>
      <c r="I636" s="16" t="n">
        <f aca="false">ROUND(F636*G636*H636,0)</f>
        <v>200767</v>
      </c>
    </row>
    <row r="637" customFormat="false" ht="15" hidden="false" customHeight="false" outlineLevel="0" collapsed="false">
      <c r="A637" s="14" t="n">
        <v>46143</v>
      </c>
      <c r="B637" s="6" t="s">
        <v>29</v>
      </c>
      <c r="C637" s="6" t="s">
        <v>64</v>
      </c>
      <c r="D637" s="0" t="str">
        <f aca="false">INDEX(Clientes!$B$4:$B$15,MATCH(B637,Clientes!$A$4:$A$15,0))</f>
        <v>Distribuidora Los Andes S.A.</v>
      </c>
      <c r="E637" s="0" t="str">
        <f aca="false">INDEX(Catalogo_Servicios!$C$4:$C$24,MATCH(C637,Catalogo_Servicios!$A$4:$A$24,0))</f>
        <v>Estados financieros mensuales</v>
      </c>
      <c r="F637" s="15" t="n">
        <v>3</v>
      </c>
      <c r="G637" s="16" t="n">
        <f aca="false">Parametros!$B$4</f>
        <v>28681</v>
      </c>
      <c r="H637" s="15" t="n">
        <f aca="false">INDEX(Clientes!$E$4:$E$15,MATCH(B637,Clientes!$A$4:$A$15,0))</f>
        <v>1</v>
      </c>
      <c r="I637" s="16" t="n">
        <f aca="false">ROUND(F637*G637*H637,0)</f>
        <v>86043</v>
      </c>
    </row>
    <row r="638" customFormat="false" ht="15" hidden="false" customHeight="false" outlineLevel="0" collapsed="false">
      <c r="A638" s="14" t="n">
        <v>46143</v>
      </c>
      <c r="B638" s="6" t="s">
        <v>29</v>
      </c>
      <c r="C638" s="6" t="s">
        <v>65</v>
      </c>
      <c r="D638" s="0" t="str">
        <f aca="false">INDEX(Clientes!$B$4:$B$15,MATCH(B638,Clientes!$A$4:$A$15,0))</f>
        <v>Distribuidora Los Andes S.A.</v>
      </c>
      <c r="E638" s="0" t="str">
        <f aca="false">INDEX(Catalogo_Servicios!$C$4:$C$24,MATCH(C638,Catalogo_Servicios!$A$4:$A$24,0))</f>
        <v>Declaración mensual de IVA (D-104)</v>
      </c>
      <c r="F638" s="15" t="n">
        <v>0.75</v>
      </c>
      <c r="G638" s="16" t="n">
        <f aca="false">Parametros!$B$4</f>
        <v>28681</v>
      </c>
      <c r="H638" s="15" t="n">
        <f aca="false">INDEX(Clientes!$E$4:$E$15,MATCH(B638,Clientes!$A$4:$A$15,0))</f>
        <v>1</v>
      </c>
      <c r="I638" s="16" t="n">
        <f aca="false">ROUND(F638*G638*H638,0)</f>
        <v>21511</v>
      </c>
    </row>
    <row r="639" customFormat="false" ht="15" hidden="false" customHeight="false" outlineLevel="0" collapsed="false">
      <c r="A639" s="14" t="n">
        <v>46143</v>
      </c>
      <c r="B639" s="6" t="s">
        <v>29</v>
      </c>
      <c r="C639" s="6" t="s">
        <v>66</v>
      </c>
      <c r="D639" s="0" t="str">
        <f aca="false">INDEX(Clientes!$B$4:$B$15,MATCH(B639,Clientes!$A$4:$A$15,0))</f>
        <v>Distribuidora Los Andes S.A.</v>
      </c>
      <c r="E639" s="0" t="str">
        <f aca="false">INDEX(Catalogo_Servicios!$C$4:$C$24,MATCH(C639,Catalogo_Servicios!$A$4:$A$24,0))</f>
        <v>Declaración mensual de retenciones (D-103)</v>
      </c>
      <c r="F639" s="15" t="n">
        <v>0.25</v>
      </c>
      <c r="G639" s="16" t="n">
        <f aca="false">Parametros!$B$4</f>
        <v>28681</v>
      </c>
      <c r="H639" s="15" t="n">
        <f aca="false">INDEX(Clientes!$E$4:$E$15,MATCH(B639,Clientes!$A$4:$A$15,0))</f>
        <v>1</v>
      </c>
      <c r="I639" s="16" t="n">
        <f aca="false">ROUND(F639*G639*H639,0)</f>
        <v>7170</v>
      </c>
    </row>
    <row r="640" customFormat="false" ht="15" hidden="false" customHeight="false" outlineLevel="0" collapsed="false">
      <c r="A640" s="14" t="n">
        <v>46143</v>
      </c>
      <c r="B640" s="6" t="s">
        <v>29</v>
      </c>
      <c r="C640" s="6" t="s">
        <v>67</v>
      </c>
      <c r="D640" s="0" t="str">
        <f aca="false">INDEX(Clientes!$B$4:$B$15,MATCH(B640,Clientes!$A$4:$A$15,0))</f>
        <v>Distribuidora Los Andes S.A.</v>
      </c>
      <c r="E640" s="0" t="str">
        <f aca="false">INDEX(Catalogo_Servicios!$C$4:$C$24,MATCH(C640,Catalogo_Servicios!$A$4:$A$24,0))</f>
        <v>Cálculo de planillas y cargas sociales (CCSS/INS)</v>
      </c>
      <c r="F640" s="15" t="n">
        <v>22.5</v>
      </c>
      <c r="G640" s="16" t="n">
        <f aca="false">Parametros!$B$4</f>
        <v>28681</v>
      </c>
      <c r="H640" s="15" t="n">
        <f aca="false">INDEX(Clientes!$E$4:$E$15,MATCH(B640,Clientes!$A$4:$A$15,0))</f>
        <v>1</v>
      </c>
      <c r="I640" s="16" t="n">
        <f aca="false">ROUND(F640*G640*H640,0)</f>
        <v>645323</v>
      </c>
    </row>
    <row r="641" customFormat="false" ht="15" hidden="false" customHeight="false" outlineLevel="0" collapsed="false">
      <c r="A641" s="14" t="n">
        <v>46143</v>
      </c>
      <c r="B641" s="6" t="s">
        <v>30</v>
      </c>
      <c r="C641" s="6" t="s">
        <v>64</v>
      </c>
      <c r="D641" s="0" t="str">
        <f aca="false">INDEX(Clientes!$B$4:$B$15,MATCH(B641,Clientes!$A$4:$A$15,0))</f>
        <v>Ferretería El Tornillo</v>
      </c>
      <c r="E641" s="0" t="str">
        <f aca="false">INDEX(Catalogo_Servicios!$C$4:$C$24,MATCH(C641,Catalogo_Servicios!$A$4:$A$24,0))</f>
        <v>Estados financieros mensuales</v>
      </c>
      <c r="F641" s="15" t="n">
        <v>3.25</v>
      </c>
      <c r="G641" s="16" t="n">
        <f aca="false">Parametros!$B$4</f>
        <v>28681</v>
      </c>
      <c r="H641" s="15" t="n">
        <f aca="false">INDEX(Clientes!$E$4:$E$15,MATCH(B641,Clientes!$A$4:$A$15,0))</f>
        <v>1</v>
      </c>
      <c r="I641" s="16" t="n">
        <f aca="false">ROUND(F641*G641*H641,0)</f>
        <v>93213</v>
      </c>
    </row>
    <row r="642" customFormat="false" ht="15" hidden="false" customHeight="false" outlineLevel="0" collapsed="false">
      <c r="A642" s="14" t="n">
        <v>46143</v>
      </c>
      <c r="B642" s="6" t="s">
        <v>30</v>
      </c>
      <c r="C642" s="6" t="s">
        <v>65</v>
      </c>
      <c r="D642" s="0" t="str">
        <f aca="false">INDEX(Clientes!$B$4:$B$15,MATCH(B642,Clientes!$A$4:$A$15,0))</f>
        <v>Ferretería El Tornillo</v>
      </c>
      <c r="E642" s="0" t="str">
        <f aca="false">INDEX(Catalogo_Servicios!$C$4:$C$24,MATCH(C642,Catalogo_Servicios!$A$4:$A$24,0))</f>
        <v>Declaración mensual de IVA (D-104)</v>
      </c>
      <c r="F642" s="15" t="n">
        <v>1</v>
      </c>
      <c r="G642" s="16" t="n">
        <f aca="false">Parametros!$B$4</f>
        <v>28681</v>
      </c>
      <c r="H642" s="15" t="n">
        <f aca="false">INDEX(Clientes!$E$4:$E$15,MATCH(B642,Clientes!$A$4:$A$15,0))</f>
        <v>1</v>
      </c>
      <c r="I642" s="16" t="n">
        <f aca="false">ROUND(F642*G642*H642,0)</f>
        <v>28681</v>
      </c>
    </row>
    <row r="643" customFormat="false" ht="15" hidden="false" customHeight="false" outlineLevel="0" collapsed="false">
      <c r="A643" s="14" t="n">
        <v>46143</v>
      </c>
      <c r="B643" s="6" t="s">
        <v>30</v>
      </c>
      <c r="C643" s="6" t="s">
        <v>66</v>
      </c>
      <c r="D643" s="0" t="str">
        <f aca="false">INDEX(Clientes!$B$4:$B$15,MATCH(B643,Clientes!$A$4:$A$15,0))</f>
        <v>Ferretería El Tornillo</v>
      </c>
      <c r="E643" s="0" t="str">
        <f aca="false">INDEX(Catalogo_Servicios!$C$4:$C$24,MATCH(C643,Catalogo_Servicios!$A$4:$A$24,0))</f>
        <v>Declaración mensual de retenciones (D-103)</v>
      </c>
      <c r="F643" s="15" t="n">
        <v>0.25</v>
      </c>
      <c r="G643" s="16" t="n">
        <f aca="false">Parametros!$B$4</f>
        <v>28681</v>
      </c>
      <c r="H643" s="15" t="n">
        <f aca="false">INDEX(Clientes!$E$4:$E$15,MATCH(B643,Clientes!$A$4:$A$15,0))</f>
        <v>1</v>
      </c>
      <c r="I643" s="16" t="n">
        <f aca="false">ROUND(F643*G643*H643,0)</f>
        <v>7170</v>
      </c>
    </row>
    <row r="644" customFormat="false" ht="15" hidden="false" customHeight="false" outlineLevel="0" collapsed="false">
      <c r="A644" s="14" t="n">
        <v>46143</v>
      </c>
      <c r="B644" s="6" t="s">
        <v>31</v>
      </c>
      <c r="C644" s="6" t="s">
        <v>65</v>
      </c>
      <c r="D644" s="0" t="str">
        <f aca="false">INDEX(Clientes!$B$4:$B$15,MATCH(B644,Clientes!$A$4:$A$15,0))</f>
        <v>Clínica Dental Sonrisa</v>
      </c>
      <c r="E644" s="0" t="str">
        <f aca="false">INDEX(Catalogo_Servicios!$C$4:$C$24,MATCH(C644,Catalogo_Servicios!$A$4:$A$24,0))</f>
        <v>Declaración mensual de IVA (D-104)</v>
      </c>
      <c r="F644" s="15" t="n">
        <v>0.75</v>
      </c>
      <c r="G644" s="16" t="n">
        <f aca="false">Parametros!$B$4</f>
        <v>28681</v>
      </c>
      <c r="H644" s="15" t="n">
        <f aca="false">INDEX(Clientes!$E$4:$E$15,MATCH(B644,Clientes!$A$4:$A$15,0))</f>
        <v>1.1</v>
      </c>
      <c r="I644" s="16" t="n">
        <f aca="false">ROUND(F644*G644*H644,0)</f>
        <v>23662</v>
      </c>
    </row>
    <row r="645" customFormat="false" ht="15" hidden="false" customHeight="false" outlineLevel="0" collapsed="false">
      <c r="A645" s="14" t="n">
        <v>46143</v>
      </c>
      <c r="B645" s="6" t="s">
        <v>32</v>
      </c>
      <c r="C645" s="6" t="s">
        <v>65</v>
      </c>
      <c r="D645" s="0" t="str">
        <f aca="false">INDEX(Clientes!$B$4:$B$15,MATCH(B645,Clientes!$A$4:$A$15,0))</f>
        <v>Soda y Restaurante Doña Lela</v>
      </c>
      <c r="E645" s="0" t="str">
        <f aca="false">INDEX(Catalogo_Servicios!$C$4:$C$24,MATCH(C645,Catalogo_Servicios!$A$4:$A$24,0))</f>
        <v>Declaración mensual de IVA (D-104)</v>
      </c>
      <c r="F645" s="15" t="n">
        <v>1</v>
      </c>
      <c r="G645" s="16" t="n">
        <f aca="false">Parametros!$B$4</f>
        <v>28681</v>
      </c>
      <c r="H645" s="15" t="n">
        <f aca="false">INDEX(Clientes!$E$4:$E$15,MATCH(B645,Clientes!$A$4:$A$15,0))</f>
        <v>1</v>
      </c>
      <c r="I645" s="16" t="n">
        <f aca="false">ROUND(F645*G645*H645,0)</f>
        <v>28681</v>
      </c>
    </row>
    <row r="646" customFormat="false" ht="15" hidden="false" customHeight="false" outlineLevel="0" collapsed="false">
      <c r="A646" s="14" t="n">
        <v>46143</v>
      </c>
      <c r="B646" s="6" t="s">
        <v>33</v>
      </c>
      <c r="C646" s="6" t="s">
        <v>65</v>
      </c>
      <c r="D646" s="0" t="str">
        <f aca="false">INDEX(Clientes!$B$4:$B$15,MATCH(B646,Clientes!$A$4:$A$15,0))</f>
        <v>Transportes Rápidos del Valle</v>
      </c>
      <c r="E646" s="0" t="str">
        <f aca="false">INDEX(Catalogo_Servicios!$C$4:$C$24,MATCH(C646,Catalogo_Servicios!$A$4:$A$24,0))</f>
        <v>Declaración mensual de IVA (D-104)</v>
      </c>
      <c r="F646" s="15" t="n">
        <v>0.75</v>
      </c>
      <c r="G646" s="16" t="n">
        <f aca="false">Parametros!$B$4</f>
        <v>28681</v>
      </c>
      <c r="H646" s="15" t="n">
        <f aca="false">INDEX(Clientes!$E$4:$E$15,MATCH(B646,Clientes!$A$4:$A$15,0))</f>
        <v>1</v>
      </c>
      <c r="I646" s="16" t="n">
        <f aca="false">ROUND(F646*G646*H646,0)</f>
        <v>21511</v>
      </c>
    </row>
    <row r="647" customFormat="false" ht="15" hidden="false" customHeight="false" outlineLevel="0" collapsed="false">
      <c r="A647" s="14" t="n">
        <v>46143</v>
      </c>
      <c r="B647" s="6" t="s">
        <v>33</v>
      </c>
      <c r="C647" s="6" t="s">
        <v>66</v>
      </c>
      <c r="D647" s="0" t="str">
        <f aca="false">INDEX(Clientes!$B$4:$B$15,MATCH(B647,Clientes!$A$4:$A$15,0))</f>
        <v>Transportes Rápidos del Valle</v>
      </c>
      <c r="E647" s="0" t="str">
        <f aca="false">INDEX(Catalogo_Servicios!$C$4:$C$24,MATCH(C647,Catalogo_Servicios!$A$4:$A$24,0))</f>
        <v>Declaración mensual de retenciones (D-103)</v>
      </c>
      <c r="F647" s="15" t="n">
        <v>0.25</v>
      </c>
      <c r="G647" s="16" t="n">
        <f aca="false">Parametros!$B$4</f>
        <v>28681</v>
      </c>
      <c r="H647" s="15" t="n">
        <f aca="false">INDEX(Clientes!$E$4:$E$15,MATCH(B647,Clientes!$A$4:$A$15,0))</f>
        <v>1</v>
      </c>
      <c r="I647" s="16" t="n">
        <f aca="false">ROUND(F647*G647*H647,0)</f>
        <v>7170</v>
      </c>
    </row>
    <row r="648" customFormat="false" ht="15" hidden="false" customHeight="false" outlineLevel="0" collapsed="false">
      <c r="A648" s="14" t="n">
        <v>46143</v>
      </c>
      <c r="B648" s="6" t="s">
        <v>33</v>
      </c>
      <c r="C648" s="6" t="s">
        <v>67</v>
      </c>
      <c r="D648" s="0" t="str">
        <f aca="false">INDEX(Clientes!$B$4:$B$15,MATCH(B648,Clientes!$A$4:$A$15,0))</f>
        <v>Transportes Rápidos del Valle</v>
      </c>
      <c r="E648" s="0" t="str">
        <f aca="false">INDEX(Catalogo_Servicios!$C$4:$C$24,MATCH(C648,Catalogo_Servicios!$A$4:$A$24,0))</f>
        <v>Cálculo de planillas y cargas sociales (CCSS/INS)</v>
      </c>
      <c r="F648" s="15" t="n">
        <v>6.5</v>
      </c>
      <c r="G648" s="16" t="n">
        <f aca="false">Parametros!$B$4</f>
        <v>28681</v>
      </c>
      <c r="H648" s="15" t="n">
        <f aca="false">INDEX(Clientes!$E$4:$E$15,MATCH(B648,Clientes!$A$4:$A$15,0))</f>
        <v>1</v>
      </c>
      <c r="I648" s="16" t="n">
        <f aca="false">ROUND(F648*G648*H648,0)</f>
        <v>186427</v>
      </c>
    </row>
    <row r="649" customFormat="false" ht="15" hidden="false" customHeight="false" outlineLevel="0" collapsed="false">
      <c r="A649" s="14" t="n">
        <v>46143</v>
      </c>
      <c r="B649" s="6" t="s">
        <v>35</v>
      </c>
      <c r="C649" s="6" t="s">
        <v>65</v>
      </c>
      <c r="D649" s="0" t="str">
        <f aca="false">INDEX(Clientes!$B$4:$B$15,MATCH(B649,Clientes!$A$4:$A$15,0))</f>
        <v>Taller Mecánico Hermanos Mora</v>
      </c>
      <c r="E649" s="0" t="str">
        <f aca="false">INDEX(Catalogo_Servicios!$C$4:$C$24,MATCH(C649,Catalogo_Servicios!$A$4:$A$24,0))</f>
        <v>Declaración mensual de IVA (D-104)</v>
      </c>
      <c r="F649" s="15" t="n">
        <v>1</v>
      </c>
      <c r="G649" s="16" t="n">
        <f aca="false">Parametros!$B$4</f>
        <v>28681</v>
      </c>
      <c r="H649" s="15" t="n">
        <f aca="false">INDEX(Clientes!$E$4:$E$15,MATCH(B649,Clientes!$A$4:$A$15,0))</f>
        <v>1</v>
      </c>
      <c r="I649" s="16" t="n">
        <f aca="false">ROUND(F649*G649*H649,0)</f>
        <v>28681</v>
      </c>
    </row>
    <row r="650" customFormat="false" ht="15" hidden="false" customHeight="false" outlineLevel="0" collapsed="false">
      <c r="A650" s="14" t="n">
        <v>46143</v>
      </c>
      <c r="B650" s="6" t="s">
        <v>36</v>
      </c>
      <c r="C650" s="6" t="s">
        <v>65</v>
      </c>
      <c r="D650" s="0" t="str">
        <f aca="false">INDEX(Clientes!$B$4:$B$15,MATCH(B650,Clientes!$A$4:$A$15,0))</f>
        <v>Agroservicios Cartago</v>
      </c>
      <c r="E650" s="0" t="str">
        <f aca="false">INDEX(Catalogo_Servicios!$C$4:$C$24,MATCH(C650,Catalogo_Servicios!$A$4:$A$24,0))</f>
        <v>Declaración mensual de IVA (D-104)</v>
      </c>
      <c r="F650" s="15" t="n">
        <v>0.75</v>
      </c>
      <c r="G650" s="16" t="n">
        <f aca="false">Parametros!$B$4</f>
        <v>28681</v>
      </c>
      <c r="H650" s="15" t="n">
        <f aca="false">INDEX(Clientes!$E$4:$E$15,MATCH(B650,Clientes!$A$4:$A$15,0))</f>
        <v>1</v>
      </c>
      <c r="I650" s="16" t="n">
        <f aca="false">ROUND(F650*G650*H650,0)</f>
        <v>21511</v>
      </c>
    </row>
    <row r="651" customFormat="false" ht="15" hidden="false" customHeight="false" outlineLevel="0" collapsed="false">
      <c r="A651" s="14" t="n">
        <v>46143</v>
      </c>
      <c r="B651" s="6" t="s">
        <v>36</v>
      </c>
      <c r="C651" s="6" t="s">
        <v>66</v>
      </c>
      <c r="D651" s="0" t="str">
        <f aca="false">INDEX(Clientes!$B$4:$B$15,MATCH(B651,Clientes!$A$4:$A$15,0))</f>
        <v>Agroservicios Cartago</v>
      </c>
      <c r="E651" s="0" t="str">
        <f aca="false">INDEX(Catalogo_Servicios!$C$4:$C$24,MATCH(C651,Catalogo_Servicios!$A$4:$A$24,0))</f>
        <v>Declaración mensual de retenciones (D-103)</v>
      </c>
      <c r="F651" s="15" t="n">
        <v>0.25</v>
      </c>
      <c r="G651" s="16" t="n">
        <f aca="false">Parametros!$B$4</f>
        <v>28681</v>
      </c>
      <c r="H651" s="15" t="n">
        <f aca="false">INDEX(Clientes!$E$4:$E$15,MATCH(B651,Clientes!$A$4:$A$15,0))</f>
        <v>1</v>
      </c>
      <c r="I651" s="16" t="n">
        <f aca="false">ROUND(F651*G651*H651,0)</f>
        <v>7170</v>
      </c>
    </row>
    <row r="652" customFormat="false" ht="15" hidden="false" customHeight="false" outlineLevel="0" collapsed="false">
      <c r="A652" s="14" t="n">
        <v>46143</v>
      </c>
      <c r="B652" s="6" t="s">
        <v>38</v>
      </c>
      <c r="C652" s="6" t="s">
        <v>65</v>
      </c>
      <c r="D652" s="0" t="str">
        <f aca="false">INDEX(Clientes!$B$4:$B$15,MATCH(B652,Clientes!$A$4:$A$15,0))</f>
        <v>Panadería La Espiga</v>
      </c>
      <c r="E652" s="0" t="str">
        <f aca="false">INDEX(Catalogo_Servicios!$C$4:$C$24,MATCH(C652,Catalogo_Servicios!$A$4:$A$24,0))</f>
        <v>Declaración mensual de IVA (D-104)</v>
      </c>
      <c r="F652" s="15" t="n">
        <v>0.75</v>
      </c>
      <c r="G652" s="16" t="n">
        <f aca="false">Parametros!$B$4</f>
        <v>28681</v>
      </c>
      <c r="H652" s="15" t="n">
        <f aca="false">INDEX(Clientes!$E$4:$E$15,MATCH(B652,Clientes!$A$4:$A$15,0))</f>
        <v>1</v>
      </c>
      <c r="I652" s="16" t="n">
        <f aca="false">ROUND(F652*G652*H652,0)</f>
        <v>21511</v>
      </c>
    </row>
    <row r="653" customFormat="false" ht="15" hidden="false" customHeight="false" outlineLevel="0" collapsed="false">
      <c r="A653" s="14" t="n">
        <v>46143</v>
      </c>
      <c r="B653" s="6" t="s">
        <v>38</v>
      </c>
      <c r="C653" s="6" t="s">
        <v>67</v>
      </c>
      <c r="D653" s="0" t="str">
        <f aca="false">INDEX(Clientes!$B$4:$B$15,MATCH(B653,Clientes!$A$4:$A$15,0))</f>
        <v>Panadería La Espiga</v>
      </c>
      <c r="E653" s="0" t="str">
        <f aca="false">INDEX(Catalogo_Servicios!$C$4:$C$24,MATCH(C653,Catalogo_Servicios!$A$4:$A$24,0))</f>
        <v>Cálculo de planillas y cargas sociales (CCSS/INS)</v>
      </c>
      <c r="F653" s="15" t="n">
        <v>7</v>
      </c>
      <c r="G653" s="16" t="n">
        <f aca="false">Parametros!$B$4</f>
        <v>28681</v>
      </c>
      <c r="H653" s="15" t="n">
        <f aca="false">INDEX(Clientes!$E$4:$E$15,MATCH(B653,Clientes!$A$4:$A$15,0))</f>
        <v>1</v>
      </c>
      <c r="I653" s="16" t="n">
        <f aca="false">ROUND(F653*G653*H653,0)</f>
        <v>200767</v>
      </c>
    </row>
    <row r="654" customFormat="false" ht="15" hidden="false" customHeight="false" outlineLevel="0" collapsed="false">
      <c r="A654" s="14" t="n">
        <v>46174</v>
      </c>
      <c r="B654" s="6" t="s">
        <v>29</v>
      </c>
      <c r="C654" s="6" t="s">
        <v>64</v>
      </c>
      <c r="D654" s="0" t="str">
        <f aca="false">INDEX(Clientes!$B$4:$B$15,MATCH(B654,Clientes!$A$4:$A$15,0))</f>
        <v>Distribuidora Los Andes S.A.</v>
      </c>
      <c r="E654" s="0" t="str">
        <f aca="false">INDEX(Catalogo_Servicios!$C$4:$C$24,MATCH(C654,Catalogo_Servicios!$A$4:$A$24,0))</f>
        <v>Estados financieros mensuales</v>
      </c>
      <c r="F654" s="15" t="n">
        <v>3</v>
      </c>
      <c r="G654" s="16" t="n">
        <f aca="false">Parametros!$B$4</f>
        <v>28681</v>
      </c>
      <c r="H654" s="15" t="n">
        <f aca="false">INDEX(Clientes!$E$4:$E$15,MATCH(B654,Clientes!$A$4:$A$15,0))</f>
        <v>1</v>
      </c>
      <c r="I654" s="16" t="n">
        <f aca="false">ROUND(F654*G654*H654,0)</f>
        <v>86043</v>
      </c>
    </row>
    <row r="655" customFormat="false" ht="15" hidden="false" customHeight="false" outlineLevel="0" collapsed="false">
      <c r="A655" s="14" t="n">
        <v>46174</v>
      </c>
      <c r="B655" s="6" t="s">
        <v>29</v>
      </c>
      <c r="C655" s="6" t="s">
        <v>65</v>
      </c>
      <c r="D655" s="0" t="str">
        <f aca="false">INDEX(Clientes!$B$4:$B$15,MATCH(B655,Clientes!$A$4:$A$15,0))</f>
        <v>Distribuidora Los Andes S.A.</v>
      </c>
      <c r="E655" s="0" t="str">
        <f aca="false">INDEX(Catalogo_Servicios!$C$4:$C$24,MATCH(C655,Catalogo_Servicios!$A$4:$A$24,0))</f>
        <v>Declaración mensual de IVA (D-104)</v>
      </c>
      <c r="F655" s="15" t="n">
        <v>0.75</v>
      </c>
      <c r="G655" s="16" t="n">
        <f aca="false">Parametros!$B$4</f>
        <v>28681</v>
      </c>
      <c r="H655" s="15" t="n">
        <f aca="false">INDEX(Clientes!$E$4:$E$15,MATCH(B655,Clientes!$A$4:$A$15,0))</f>
        <v>1</v>
      </c>
      <c r="I655" s="16" t="n">
        <f aca="false">ROUND(F655*G655*H655,0)</f>
        <v>21511</v>
      </c>
    </row>
    <row r="656" customFormat="false" ht="15" hidden="false" customHeight="false" outlineLevel="0" collapsed="false">
      <c r="A656" s="14" t="n">
        <v>46174</v>
      </c>
      <c r="B656" s="6" t="s">
        <v>29</v>
      </c>
      <c r="C656" s="6" t="s">
        <v>66</v>
      </c>
      <c r="D656" s="0" t="str">
        <f aca="false">INDEX(Clientes!$B$4:$B$15,MATCH(B656,Clientes!$A$4:$A$15,0))</f>
        <v>Distribuidora Los Andes S.A.</v>
      </c>
      <c r="E656" s="0" t="str">
        <f aca="false">INDEX(Catalogo_Servicios!$C$4:$C$24,MATCH(C656,Catalogo_Servicios!$A$4:$A$24,0))</f>
        <v>Declaración mensual de retenciones (D-103)</v>
      </c>
      <c r="F656" s="15" t="n">
        <v>0.25</v>
      </c>
      <c r="G656" s="16" t="n">
        <f aca="false">Parametros!$B$4</f>
        <v>28681</v>
      </c>
      <c r="H656" s="15" t="n">
        <f aca="false">INDEX(Clientes!$E$4:$E$15,MATCH(B656,Clientes!$A$4:$A$15,0))</f>
        <v>1</v>
      </c>
      <c r="I656" s="16" t="n">
        <f aca="false">ROUND(F656*G656*H656,0)</f>
        <v>7170</v>
      </c>
    </row>
    <row r="657" customFormat="false" ht="15" hidden="false" customHeight="false" outlineLevel="0" collapsed="false">
      <c r="A657" s="14" t="n">
        <v>46174</v>
      </c>
      <c r="B657" s="6" t="s">
        <v>29</v>
      </c>
      <c r="C657" s="6" t="s">
        <v>67</v>
      </c>
      <c r="D657" s="0" t="str">
        <f aca="false">INDEX(Clientes!$B$4:$B$15,MATCH(B657,Clientes!$A$4:$A$15,0))</f>
        <v>Distribuidora Los Andes S.A.</v>
      </c>
      <c r="E657" s="0" t="str">
        <f aca="false">INDEX(Catalogo_Servicios!$C$4:$C$24,MATCH(C657,Catalogo_Servicios!$A$4:$A$24,0))</f>
        <v>Cálculo de planillas y cargas sociales (CCSS/INS)</v>
      </c>
      <c r="F657" s="15" t="n">
        <v>36</v>
      </c>
      <c r="G657" s="16" t="n">
        <f aca="false">Parametros!$B$4</f>
        <v>28681</v>
      </c>
      <c r="H657" s="15" t="n">
        <f aca="false">INDEX(Clientes!$E$4:$E$15,MATCH(B657,Clientes!$A$4:$A$15,0))</f>
        <v>1</v>
      </c>
      <c r="I657" s="16" t="n">
        <f aca="false">ROUND(F657*G657*H657,0)</f>
        <v>1032516</v>
      </c>
    </row>
    <row r="658" customFormat="false" ht="15" hidden="false" customHeight="false" outlineLevel="0" collapsed="false">
      <c r="A658" s="14" t="n">
        <v>46174</v>
      </c>
      <c r="B658" s="6" t="s">
        <v>30</v>
      </c>
      <c r="C658" s="6" t="s">
        <v>64</v>
      </c>
      <c r="D658" s="0" t="str">
        <f aca="false">INDEX(Clientes!$B$4:$B$15,MATCH(B658,Clientes!$A$4:$A$15,0))</f>
        <v>Ferretería El Tornillo</v>
      </c>
      <c r="E658" s="0" t="str">
        <f aca="false">INDEX(Catalogo_Servicios!$C$4:$C$24,MATCH(C658,Catalogo_Servicios!$A$4:$A$24,0))</f>
        <v>Estados financieros mensuales</v>
      </c>
      <c r="F658" s="15" t="n">
        <v>3.5</v>
      </c>
      <c r="G658" s="16" t="n">
        <f aca="false">Parametros!$B$4</f>
        <v>28681</v>
      </c>
      <c r="H658" s="15" t="n">
        <f aca="false">INDEX(Clientes!$E$4:$E$15,MATCH(B658,Clientes!$A$4:$A$15,0))</f>
        <v>1</v>
      </c>
      <c r="I658" s="16" t="n">
        <f aca="false">ROUND(F658*G658*H658,0)</f>
        <v>100384</v>
      </c>
    </row>
    <row r="659" customFormat="false" ht="15" hidden="false" customHeight="false" outlineLevel="0" collapsed="false">
      <c r="A659" s="14" t="n">
        <v>46174</v>
      </c>
      <c r="B659" s="6" t="s">
        <v>30</v>
      </c>
      <c r="C659" s="6" t="s">
        <v>65</v>
      </c>
      <c r="D659" s="0" t="str">
        <f aca="false">INDEX(Clientes!$B$4:$B$15,MATCH(B659,Clientes!$A$4:$A$15,0))</f>
        <v>Ferretería El Tornillo</v>
      </c>
      <c r="E659" s="0" t="str">
        <f aca="false">INDEX(Catalogo_Servicios!$C$4:$C$24,MATCH(C659,Catalogo_Servicios!$A$4:$A$24,0))</f>
        <v>Declaración mensual de IVA (D-104)</v>
      </c>
      <c r="F659" s="15" t="n">
        <v>0.75</v>
      </c>
      <c r="G659" s="16" t="n">
        <f aca="false">Parametros!$B$4</f>
        <v>28681</v>
      </c>
      <c r="H659" s="15" t="n">
        <f aca="false">INDEX(Clientes!$E$4:$E$15,MATCH(B659,Clientes!$A$4:$A$15,0))</f>
        <v>1</v>
      </c>
      <c r="I659" s="16" t="n">
        <f aca="false">ROUND(F659*G659*H659,0)</f>
        <v>21511</v>
      </c>
    </row>
    <row r="660" customFormat="false" ht="15" hidden="false" customHeight="false" outlineLevel="0" collapsed="false">
      <c r="A660" s="14" t="n">
        <v>46174</v>
      </c>
      <c r="B660" s="6" t="s">
        <v>30</v>
      </c>
      <c r="C660" s="6" t="s">
        <v>66</v>
      </c>
      <c r="D660" s="0" t="str">
        <f aca="false">INDEX(Clientes!$B$4:$B$15,MATCH(B660,Clientes!$A$4:$A$15,0))</f>
        <v>Ferretería El Tornillo</v>
      </c>
      <c r="E660" s="0" t="str">
        <f aca="false">INDEX(Catalogo_Servicios!$C$4:$C$24,MATCH(C660,Catalogo_Servicios!$A$4:$A$24,0))</f>
        <v>Declaración mensual de retenciones (D-103)</v>
      </c>
      <c r="F660" s="15" t="n">
        <v>0.25</v>
      </c>
      <c r="G660" s="16" t="n">
        <f aca="false">Parametros!$B$4</f>
        <v>28681</v>
      </c>
      <c r="H660" s="15" t="n">
        <f aca="false">INDEX(Clientes!$E$4:$E$15,MATCH(B660,Clientes!$A$4:$A$15,0))</f>
        <v>1</v>
      </c>
      <c r="I660" s="16" t="n">
        <f aca="false">ROUND(F660*G660*H660,0)</f>
        <v>7170</v>
      </c>
    </row>
    <row r="661" customFormat="false" ht="15" hidden="false" customHeight="false" outlineLevel="0" collapsed="false">
      <c r="A661" s="14" t="n">
        <v>46174</v>
      </c>
      <c r="B661" s="6" t="s">
        <v>31</v>
      </c>
      <c r="C661" s="6" t="s">
        <v>65</v>
      </c>
      <c r="D661" s="0" t="str">
        <f aca="false">INDEX(Clientes!$B$4:$B$15,MATCH(B661,Clientes!$A$4:$A$15,0))</f>
        <v>Clínica Dental Sonrisa</v>
      </c>
      <c r="E661" s="0" t="str">
        <f aca="false">INDEX(Catalogo_Servicios!$C$4:$C$24,MATCH(C661,Catalogo_Servicios!$A$4:$A$24,0))</f>
        <v>Declaración mensual de IVA (D-104)</v>
      </c>
      <c r="F661" s="15" t="n">
        <v>0.75</v>
      </c>
      <c r="G661" s="16" t="n">
        <f aca="false">Parametros!$B$4</f>
        <v>28681</v>
      </c>
      <c r="H661" s="15" t="n">
        <f aca="false">INDEX(Clientes!$E$4:$E$15,MATCH(B661,Clientes!$A$4:$A$15,0))</f>
        <v>1.1</v>
      </c>
      <c r="I661" s="16" t="n">
        <f aca="false">ROUND(F661*G661*H661,0)</f>
        <v>23662</v>
      </c>
    </row>
    <row r="662" customFormat="false" ht="15" hidden="false" customHeight="false" outlineLevel="0" collapsed="false">
      <c r="A662" s="14" t="n">
        <v>46174</v>
      </c>
      <c r="B662" s="6" t="s">
        <v>32</v>
      </c>
      <c r="C662" s="6" t="s">
        <v>65</v>
      </c>
      <c r="D662" s="0" t="str">
        <f aca="false">INDEX(Clientes!$B$4:$B$15,MATCH(B662,Clientes!$A$4:$A$15,0))</f>
        <v>Soda y Restaurante Doña Lela</v>
      </c>
      <c r="E662" s="0" t="str">
        <f aca="false">INDEX(Catalogo_Servicios!$C$4:$C$24,MATCH(C662,Catalogo_Servicios!$A$4:$A$24,0))</f>
        <v>Declaración mensual de IVA (D-104)</v>
      </c>
      <c r="F662" s="15" t="n">
        <v>1</v>
      </c>
      <c r="G662" s="16" t="n">
        <f aca="false">Parametros!$B$4</f>
        <v>28681</v>
      </c>
      <c r="H662" s="15" t="n">
        <f aca="false">INDEX(Clientes!$E$4:$E$15,MATCH(B662,Clientes!$A$4:$A$15,0))</f>
        <v>1</v>
      </c>
      <c r="I662" s="16" t="n">
        <f aca="false">ROUND(F662*G662*H662,0)</f>
        <v>28681</v>
      </c>
    </row>
    <row r="663" customFormat="false" ht="15" hidden="false" customHeight="false" outlineLevel="0" collapsed="false">
      <c r="A663" s="14" t="n">
        <v>46174</v>
      </c>
      <c r="B663" s="6" t="s">
        <v>33</v>
      </c>
      <c r="C663" s="6" t="s">
        <v>65</v>
      </c>
      <c r="D663" s="0" t="str">
        <f aca="false">INDEX(Clientes!$B$4:$B$15,MATCH(B663,Clientes!$A$4:$A$15,0))</f>
        <v>Transportes Rápidos del Valle</v>
      </c>
      <c r="E663" s="0" t="str">
        <f aca="false">INDEX(Catalogo_Servicios!$C$4:$C$24,MATCH(C663,Catalogo_Servicios!$A$4:$A$24,0))</f>
        <v>Declaración mensual de IVA (D-104)</v>
      </c>
      <c r="F663" s="15" t="n">
        <v>0.75</v>
      </c>
      <c r="G663" s="16" t="n">
        <f aca="false">Parametros!$B$4</f>
        <v>28681</v>
      </c>
      <c r="H663" s="15" t="n">
        <f aca="false">INDEX(Clientes!$E$4:$E$15,MATCH(B663,Clientes!$A$4:$A$15,0))</f>
        <v>1</v>
      </c>
      <c r="I663" s="16" t="n">
        <f aca="false">ROUND(F663*G663*H663,0)</f>
        <v>21511</v>
      </c>
    </row>
    <row r="664" customFormat="false" ht="15" hidden="false" customHeight="false" outlineLevel="0" collapsed="false">
      <c r="A664" s="14" t="n">
        <v>46174</v>
      </c>
      <c r="B664" s="6" t="s">
        <v>33</v>
      </c>
      <c r="C664" s="6" t="s">
        <v>66</v>
      </c>
      <c r="D664" s="0" t="str">
        <f aca="false">INDEX(Clientes!$B$4:$B$15,MATCH(B664,Clientes!$A$4:$A$15,0))</f>
        <v>Transportes Rápidos del Valle</v>
      </c>
      <c r="E664" s="0" t="str">
        <f aca="false">INDEX(Catalogo_Servicios!$C$4:$C$24,MATCH(C664,Catalogo_Servicios!$A$4:$A$24,0))</f>
        <v>Declaración mensual de retenciones (D-103)</v>
      </c>
      <c r="F664" s="15" t="n">
        <v>0.25</v>
      </c>
      <c r="G664" s="16" t="n">
        <f aca="false">Parametros!$B$4</f>
        <v>28681</v>
      </c>
      <c r="H664" s="15" t="n">
        <f aca="false">INDEX(Clientes!$E$4:$E$15,MATCH(B664,Clientes!$A$4:$A$15,0))</f>
        <v>1</v>
      </c>
      <c r="I664" s="16" t="n">
        <f aca="false">ROUND(F664*G664*H664,0)</f>
        <v>7170</v>
      </c>
    </row>
    <row r="665" customFormat="false" ht="15" hidden="false" customHeight="false" outlineLevel="0" collapsed="false">
      <c r="A665" s="14" t="n">
        <v>46174</v>
      </c>
      <c r="B665" s="6" t="s">
        <v>33</v>
      </c>
      <c r="C665" s="6" t="s">
        <v>67</v>
      </c>
      <c r="D665" s="0" t="str">
        <f aca="false">INDEX(Clientes!$B$4:$B$15,MATCH(B665,Clientes!$A$4:$A$15,0))</f>
        <v>Transportes Rápidos del Valle</v>
      </c>
      <c r="E665" s="0" t="str">
        <f aca="false">INDEX(Catalogo_Servicios!$C$4:$C$24,MATCH(C665,Catalogo_Servicios!$A$4:$A$24,0))</f>
        <v>Cálculo de planillas y cargas sociales (CCSS/INS)</v>
      </c>
      <c r="F665" s="15" t="n">
        <v>6.5</v>
      </c>
      <c r="G665" s="16" t="n">
        <f aca="false">Parametros!$B$4</f>
        <v>28681</v>
      </c>
      <c r="H665" s="15" t="n">
        <f aca="false">INDEX(Clientes!$E$4:$E$15,MATCH(B665,Clientes!$A$4:$A$15,0))</f>
        <v>1</v>
      </c>
      <c r="I665" s="16" t="n">
        <f aca="false">ROUND(F665*G665*H665,0)</f>
        <v>186427</v>
      </c>
    </row>
    <row r="666" customFormat="false" ht="15" hidden="false" customHeight="false" outlineLevel="0" collapsed="false">
      <c r="A666" s="14" t="n">
        <v>46174</v>
      </c>
      <c r="B666" s="6" t="s">
        <v>35</v>
      </c>
      <c r="C666" s="6" t="s">
        <v>65</v>
      </c>
      <c r="D666" s="0" t="str">
        <f aca="false">INDEX(Clientes!$B$4:$B$15,MATCH(B666,Clientes!$A$4:$A$15,0))</f>
        <v>Taller Mecánico Hermanos Mora</v>
      </c>
      <c r="E666" s="0" t="str">
        <f aca="false">INDEX(Catalogo_Servicios!$C$4:$C$24,MATCH(C666,Catalogo_Servicios!$A$4:$A$24,0))</f>
        <v>Declaración mensual de IVA (D-104)</v>
      </c>
      <c r="F666" s="15" t="n">
        <v>1</v>
      </c>
      <c r="G666" s="16" t="n">
        <f aca="false">Parametros!$B$4</f>
        <v>28681</v>
      </c>
      <c r="H666" s="15" t="n">
        <f aca="false">INDEX(Clientes!$E$4:$E$15,MATCH(B666,Clientes!$A$4:$A$15,0))</f>
        <v>1</v>
      </c>
      <c r="I666" s="16" t="n">
        <f aca="false">ROUND(F666*G666*H666,0)</f>
        <v>28681</v>
      </c>
    </row>
    <row r="667" customFormat="false" ht="15" hidden="false" customHeight="false" outlineLevel="0" collapsed="false">
      <c r="A667" s="14" t="n">
        <v>46174</v>
      </c>
      <c r="B667" s="6" t="s">
        <v>36</v>
      </c>
      <c r="C667" s="6" t="s">
        <v>65</v>
      </c>
      <c r="D667" s="0" t="str">
        <f aca="false">INDEX(Clientes!$B$4:$B$15,MATCH(B667,Clientes!$A$4:$A$15,0))</f>
        <v>Agroservicios Cartago</v>
      </c>
      <c r="E667" s="0" t="str">
        <f aca="false">INDEX(Catalogo_Servicios!$C$4:$C$24,MATCH(C667,Catalogo_Servicios!$A$4:$A$24,0))</f>
        <v>Declaración mensual de IVA (D-104)</v>
      </c>
      <c r="F667" s="15" t="n">
        <v>1</v>
      </c>
      <c r="G667" s="16" t="n">
        <f aca="false">Parametros!$B$4</f>
        <v>28681</v>
      </c>
      <c r="H667" s="15" t="n">
        <f aca="false">INDEX(Clientes!$E$4:$E$15,MATCH(B667,Clientes!$A$4:$A$15,0))</f>
        <v>1</v>
      </c>
      <c r="I667" s="16" t="n">
        <f aca="false">ROUND(F667*G667*H667,0)</f>
        <v>28681</v>
      </c>
    </row>
    <row r="668" customFormat="false" ht="15" hidden="false" customHeight="false" outlineLevel="0" collapsed="false">
      <c r="A668" s="14" t="n">
        <v>46174</v>
      </c>
      <c r="B668" s="6" t="s">
        <v>36</v>
      </c>
      <c r="C668" s="6" t="s">
        <v>66</v>
      </c>
      <c r="D668" s="0" t="str">
        <f aca="false">INDEX(Clientes!$B$4:$B$15,MATCH(B668,Clientes!$A$4:$A$15,0))</f>
        <v>Agroservicios Cartago</v>
      </c>
      <c r="E668" s="0" t="str">
        <f aca="false">INDEX(Catalogo_Servicios!$C$4:$C$24,MATCH(C668,Catalogo_Servicios!$A$4:$A$24,0))</f>
        <v>Declaración mensual de retenciones (D-103)</v>
      </c>
      <c r="F668" s="15" t="n">
        <v>0.25</v>
      </c>
      <c r="G668" s="16" t="n">
        <f aca="false">Parametros!$B$4</f>
        <v>28681</v>
      </c>
      <c r="H668" s="15" t="n">
        <f aca="false">INDEX(Clientes!$E$4:$E$15,MATCH(B668,Clientes!$A$4:$A$15,0))</f>
        <v>1</v>
      </c>
      <c r="I668" s="16" t="n">
        <f aca="false">ROUND(F668*G668*H668,0)</f>
        <v>7170</v>
      </c>
    </row>
    <row r="669" customFormat="false" ht="15" hidden="false" customHeight="false" outlineLevel="0" collapsed="false">
      <c r="A669" s="14" t="n">
        <v>46174</v>
      </c>
      <c r="B669" s="6" t="s">
        <v>38</v>
      </c>
      <c r="C669" s="6" t="s">
        <v>65</v>
      </c>
      <c r="D669" s="0" t="str">
        <f aca="false">INDEX(Clientes!$B$4:$B$15,MATCH(B669,Clientes!$A$4:$A$15,0))</f>
        <v>Panadería La Espiga</v>
      </c>
      <c r="E669" s="0" t="str">
        <f aca="false">INDEX(Catalogo_Servicios!$C$4:$C$24,MATCH(C669,Catalogo_Servicios!$A$4:$A$24,0))</f>
        <v>Declaración mensual de IVA (D-104)</v>
      </c>
      <c r="F669" s="15" t="n">
        <v>1</v>
      </c>
      <c r="G669" s="16" t="n">
        <f aca="false">Parametros!$B$4</f>
        <v>28681</v>
      </c>
      <c r="H669" s="15" t="n">
        <f aca="false">INDEX(Clientes!$E$4:$E$15,MATCH(B669,Clientes!$A$4:$A$15,0))</f>
        <v>1</v>
      </c>
      <c r="I669" s="16" t="n">
        <f aca="false">ROUND(F669*G669*H669,0)</f>
        <v>28681</v>
      </c>
    </row>
    <row r="670" customFormat="false" ht="15" hidden="false" customHeight="false" outlineLevel="0" collapsed="false">
      <c r="A670" s="14" t="n">
        <v>46174</v>
      </c>
      <c r="B670" s="6" t="s">
        <v>38</v>
      </c>
      <c r="C670" s="6" t="s">
        <v>67</v>
      </c>
      <c r="D670" s="0" t="str">
        <f aca="false">INDEX(Clientes!$B$4:$B$15,MATCH(B670,Clientes!$A$4:$A$15,0))</f>
        <v>Panadería La Espiga</v>
      </c>
      <c r="E670" s="0" t="str">
        <f aca="false">INDEX(Catalogo_Servicios!$C$4:$C$24,MATCH(C670,Catalogo_Servicios!$A$4:$A$24,0))</f>
        <v>Cálculo de planillas y cargas sociales (CCSS/INS)</v>
      </c>
      <c r="F670" s="15" t="n">
        <v>7</v>
      </c>
      <c r="G670" s="16" t="n">
        <f aca="false">Parametros!$B$4</f>
        <v>28681</v>
      </c>
      <c r="H670" s="15" t="n">
        <f aca="false">INDEX(Clientes!$E$4:$E$15,MATCH(B670,Clientes!$A$4:$A$15,0))</f>
        <v>1</v>
      </c>
      <c r="I670" s="16" t="n">
        <f aca="false">ROUND(F670*G670*H670,0)</f>
        <v>200767</v>
      </c>
    </row>
    <row r="671" customFormat="false" ht="15" hidden="false" customHeight="false" outlineLevel="0" collapsed="false">
      <c r="A671" s="14" t="n">
        <v>46204</v>
      </c>
      <c r="B671" s="6" t="s">
        <v>29</v>
      </c>
      <c r="C671" s="6" t="s">
        <v>64</v>
      </c>
      <c r="D671" s="0" t="str">
        <f aca="false">INDEX(Clientes!$B$4:$B$15,MATCH(B671,Clientes!$A$4:$A$15,0))</f>
        <v>Distribuidora Los Andes S.A.</v>
      </c>
      <c r="E671" s="0" t="str">
        <f aca="false">INDEX(Catalogo_Servicios!$C$4:$C$24,MATCH(C671,Catalogo_Servicios!$A$4:$A$24,0))</f>
        <v>Estados financieros mensuales</v>
      </c>
      <c r="F671" s="15" t="n">
        <v>3</v>
      </c>
      <c r="G671" s="16" t="n">
        <f aca="false">Parametros!$B$4</f>
        <v>28681</v>
      </c>
      <c r="H671" s="15" t="n">
        <f aca="false">INDEX(Clientes!$E$4:$E$15,MATCH(B671,Clientes!$A$4:$A$15,0))</f>
        <v>1</v>
      </c>
      <c r="I671" s="16" t="n">
        <f aca="false">ROUND(F671*G671*H671,0)</f>
        <v>86043</v>
      </c>
    </row>
    <row r="672" customFormat="false" ht="15" hidden="false" customHeight="false" outlineLevel="0" collapsed="false">
      <c r="A672" s="14" t="n">
        <v>46204</v>
      </c>
      <c r="B672" s="6" t="s">
        <v>29</v>
      </c>
      <c r="C672" s="6" t="s">
        <v>65</v>
      </c>
      <c r="D672" s="0" t="str">
        <f aca="false">INDEX(Clientes!$B$4:$B$15,MATCH(B672,Clientes!$A$4:$A$15,0))</f>
        <v>Distribuidora Los Andes S.A.</v>
      </c>
      <c r="E672" s="0" t="str">
        <f aca="false">INDEX(Catalogo_Servicios!$C$4:$C$24,MATCH(C672,Catalogo_Servicios!$A$4:$A$24,0))</f>
        <v>Declaración mensual de IVA (D-104)</v>
      </c>
      <c r="F672" s="15" t="n">
        <v>0.75</v>
      </c>
      <c r="G672" s="16" t="n">
        <f aca="false">Parametros!$B$4</f>
        <v>28681</v>
      </c>
      <c r="H672" s="15" t="n">
        <f aca="false">INDEX(Clientes!$E$4:$E$15,MATCH(B672,Clientes!$A$4:$A$15,0))</f>
        <v>1</v>
      </c>
      <c r="I672" s="16" t="n">
        <f aca="false">ROUND(F672*G672*H672,0)</f>
        <v>21511</v>
      </c>
    </row>
    <row r="673" customFormat="false" ht="15" hidden="false" customHeight="false" outlineLevel="0" collapsed="false">
      <c r="A673" s="14" t="n">
        <v>46204</v>
      </c>
      <c r="B673" s="6" t="s">
        <v>29</v>
      </c>
      <c r="C673" s="6" t="s">
        <v>66</v>
      </c>
      <c r="D673" s="0" t="str">
        <f aca="false">INDEX(Clientes!$B$4:$B$15,MATCH(B673,Clientes!$A$4:$A$15,0))</f>
        <v>Distribuidora Los Andes S.A.</v>
      </c>
      <c r="E673" s="0" t="str">
        <f aca="false">INDEX(Catalogo_Servicios!$C$4:$C$24,MATCH(C673,Catalogo_Servicios!$A$4:$A$24,0))</f>
        <v>Declaración mensual de retenciones (D-103)</v>
      </c>
      <c r="F673" s="15" t="n">
        <v>0.25</v>
      </c>
      <c r="G673" s="16" t="n">
        <f aca="false">Parametros!$B$4</f>
        <v>28681</v>
      </c>
      <c r="H673" s="15" t="n">
        <f aca="false">INDEX(Clientes!$E$4:$E$15,MATCH(B673,Clientes!$A$4:$A$15,0))</f>
        <v>1</v>
      </c>
      <c r="I673" s="16" t="n">
        <f aca="false">ROUND(F673*G673*H673,0)</f>
        <v>7170</v>
      </c>
    </row>
    <row r="674" customFormat="false" ht="15" hidden="false" customHeight="false" outlineLevel="0" collapsed="false">
      <c r="A674" s="14" t="n">
        <v>46204</v>
      </c>
      <c r="B674" s="6" t="s">
        <v>29</v>
      </c>
      <c r="C674" s="6" t="s">
        <v>67</v>
      </c>
      <c r="D674" s="0" t="str">
        <f aca="false">INDEX(Clientes!$B$4:$B$15,MATCH(B674,Clientes!$A$4:$A$15,0))</f>
        <v>Distribuidora Los Andes S.A.</v>
      </c>
      <c r="E674" s="0" t="str">
        <f aca="false">INDEX(Catalogo_Servicios!$C$4:$C$24,MATCH(C674,Catalogo_Servicios!$A$4:$A$24,0))</f>
        <v>Cálculo de planillas y cargas sociales (CCSS/INS)</v>
      </c>
      <c r="F674" s="15" t="n">
        <v>22</v>
      </c>
      <c r="G674" s="16" t="n">
        <f aca="false">Parametros!$B$4</f>
        <v>28681</v>
      </c>
      <c r="H674" s="15" t="n">
        <f aca="false">INDEX(Clientes!$E$4:$E$15,MATCH(B674,Clientes!$A$4:$A$15,0))</f>
        <v>1</v>
      </c>
      <c r="I674" s="16" t="n">
        <f aca="false">ROUND(F674*G674*H674,0)</f>
        <v>630982</v>
      </c>
    </row>
    <row r="675" customFormat="false" ht="15" hidden="false" customHeight="false" outlineLevel="0" collapsed="false">
      <c r="A675" s="14" t="n">
        <v>46204</v>
      </c>
      <c r="B675" s="6" t="s">
        <v>30</v>
      </c>
      <c r="C675" s="6" t="s">
        <v>64</v>
      </c>
      <c r="D675" s="0" t="str">
        <f aca="false">INDEX(Clientes!$B$4:$B$15,MATCH(B675,Clientes!$A$4:$A$15,0))</f>
        <v>Ferretería El Tornillo</v>
      </c>
      <c r="E675" s="0" t="str">
        <f aca="false">INDEX(Catalogo_Servicios!$C$4:$C$24,MATCH(C675,Catalogo_Servicios!$A$4:$A$24,0))</f>
        <v>Estados financieros mensuales</v>
      </c>
      <c r="F675" s="15" t="n">
        <v>3.5</v>
      </c>
      <c r="G675" s="16" t="n">
        <f aca="false">Parametros!$B$4</f>
        <v>28681</v>
      </c>
      <c r="H675" s="15" t="n">
        <f aca="false">INDEX(Clientes!$E$4:$E$15,MATCH(B675,Clientes!$A$4:$A$15,0))</f>
        <v>1</v>
      </c>
      <c r="I675" s="16" t="n">
        <f aca="false">ROUND(F675*G675*H675,0)</f>
        <v>100384</v>
      </c>
    </row>
    <row r="676" customFormat="false" ht="15" hidden="false" customHeight="false" outlineLevel="0" collapsed="false">
      <c r="A676" s="14" t="n">
        <v>46204</v>
      </c>
      <c r="B676" s="6" t="s">
        <v>30</v>
      </c>
      <c r="C676" s="6" t="s">
        <v>65</v>
      </c>
      <c r="D676" s="0" t="str">
        <f aca="false">INDEX(Clientes!$B$4:$B$15,MATCH(B676,Clientes!$A$4:$A$15,0))</f>
        <v>Ferretería El Tornillo</v>
      </c>
      <c r="E676" s="0" t="str">
        <f aca="false">INDEX(Catalogo_Servicios!$C$4:$C$24,MATCH(C676,Catalogo_Servicios!$A$4:$A$24,0))</f>
        <v>Declaración mensual de IVA (D-104)</v>
      </c>
      <c r="F676" s="15" t="n">
        <v>0.75</v>
      </c>
      <c r="G676" s="16" t="n">
        <f aca="false">Parametros!$B$4</f>
        <v>28681</v>
      </c>
      <c r="H676" s="15" t="n">
        <f aca="false">INDEX(Clientes!$E$4:$E$15,MATCH(B676,Clientes!$A$4:$A$15,0))</f>
        <v>1</v>
      </c>
      <c r="I676" s="16" t="n">
        <f aca="false">ROUND(F676*G676*H676,0)</f>
        <v>21511</v>
      </c>
    </row>
    <row r="677" customFormat="false" ht="15" hidden="false" customHeight="false" outlineLevel="0" collapsed="false">
      <c r="A677" s="14" t="n">
        <v>46204</v>
      </c>
      <c r="B677" s="6" t="s">
        <v>30</v>
      </c>
      <c r="C677" s="6" t="s">
        <v>66</v>
      </c>
      <c r="D677" s="0" t="str">
        <f aca="false">INDEX(Clientes!$B$4:$B$15,MATCH(B677,Clientes!$A$4:$A$15,0))</f>
        <v>Ferretería El Tornillo</v>
      </c>
      <c r="E677" s="0" t="str">
        <f aca="false">INDEX(Catalogo_Servicios!$C$4:$C$24,MATCH(C677,Catalogo_Servicios!$A$4:$A$24,0))</f>
        <v>Declaración mensual de retenciones (D-103)</v>
      </c>
      <c r="F677" s="15" t="n">
        <v>0.25</v>
      </c>
      <c r="G677" s="16" t="n">
        <f aca="false">Parametros!$B$4</f>
        <v>28681</v>
      </c>
      <c r="H677" s="15" t="n">
        <f aca="false">INDEX(Clientes!$E$4:$E$15,MATCH(B677,Clientes!$A$4:$A$15,0))</f>
        <v>1</v>
      </c>
      <c r="I677" s="16" t="n">
        <f aca="false">ROUND(F677*G677*H677,0)</f>
        <v>7170</v>
      </c>
    </row>
    <row r="678" customFormat="false" ht="15" hidden="false" customHeight="false" outlineLevel="0" collapsed="false">
      <c r="A678" s="14" t="n">
        <v>46204</v>
      </c>
      <c r="B678" s="6" t="s">
        <v>31</v>
      </c>
      <c r="C678" s="6" t="s">
        <v>65</v>
      </c>
      <c r="D678" s="0" t="str">
        <f aca="false">INDEX(Clientes!$B$4:$B$15,MATCH(B678,Clientes!$A$4:$A$15,0))</f>
        <v>Clínica Dental Sonrisa</v>
      </c>
      <c r="E678" s="0" t="str">
        <f aca="false">INDEX(Catalogo_Servicios!$C$4:$C$24,MATCH(C678,Catalogo_Servicios!$A$4:$A$24,0))</f>
        <v>Declaración mensual de IVA (D-104)</v>
      </c>
      <c r="F678" s="15" t="n">
        <v>0.75</v>
      </c>
      <c r="G678" s="16" t="n">
        <f aca="false">Parametros!$B$4</f>
        <v>28681</v>
      </c>
      <c r="H678" s="15" t="n">
        <f aca="false">INDEX(Clientes!$E$4:$E$15,MATCH(B678,Clientes!$A$4:$A$15,0))</f>
        <v>1.1</v>
      </c>
      <c r="I678" s="16" t="n">
        <f aca="false">ROUND(F678*G678*H678,0)</f>
        <v>23662</v>
      </c>
    </row>
    <row r="679" customFormat="false" ht="15" hidden="false" customHeight="false" outlineLevel="0" collapsed="false">
      <c r="A679" s="14" t="n">
        <v>46204</v>
      </c>
      <c r="B679" s="6" t="s">
        <v>32</v>
      </c>
      <c r="C679" s="6" t="s">
        <v>65</v>
      </c>
      <c r="D679" s="0" t="str">
        <f aca="false">INDEX(Clientes!$B$4:$B$15,MATCH(B679,Clientes!$A$4:$A$15,0))</f>
        <v>Soda y Restaurante Doña Lela</v>
      </c>
      <c r="E679" s="0" t="str">
        <f aca="false">INDEX(Catalogo_Servicios!$C$4:$C$24,MATCH(C679,Catalogo_Servicios!$A$4:$A$24,0))</f>
        <v>Declaración mensual de IVA (D-104)</v>
      </c>
      <c r="F679" s="15" t="n">
        <v>1</v>
      </c>
      <c r="G679" s="16" t="n">
        <f aca="false">Parametros!$B$4</f>
        <v>28681</v>
      </c>
      <c r="H679" s="15" t="n">
        <f aca="false">INDEX(Clientes!$E$4:$E$15,MATCH(B679,Clientes!$A$4:$A$15,0))</f>
        <v>1</v>
      </c>
      <c r="I679" s="16" t="n">
        <f aca="false">ROUND(F679*G679*H679,0)</f>
        <v>28681</v>
      </c>
    </row>
    <row r="680" customFormat="false" ht="15" hidden="false" customHeight="false" outlineLevel="0" collapsed="false">
      <c r="A680" s="14" t="n">
        <v>46204</v>
      </c>
      <c r="B680" s="6" t="s">
        <v>33</v>
      </c>
      <c r="C680" s="6" t="s">
        <v>65</v>
      </c>
      <c r="D680" s="0" t="str">
        <f aca="false">INDEX(Clientes!$B$4:$B$15,MATCH(B680,Clientes!$A$4:$A$15,0))</f>
        <v>Transportes Rápidos del Valle</v>
      </c>
      <c r="E680" s="0" t="str">
        <f aca="false">INDEX(Catalogo_Servicios!$C$4:$C$24,MATCH(C680,Catalogo_Servicios!$A$4:$A$24,0))</f>
        <v>Declaración mensual de IVA (D-104)</v>
      </c>
      <c r="F680" s="15" t="n">
        <v>0.75</v>
      </c>
      <c r="G680" s="16" t="n">
        <f aca="false">Parametros!$B$4</f>
        <v>28681</v>
      </c>
      <c r="H680" s="15" t="n">
        <f aca="false">INDEX(Clientes!$E$4:$E$15,MATCH(B680,Clientes!$A$4:$A$15,0))</f>
        <v>1</v>
      </c>
      <c r="I680" s="16" t="n">
        <f aca="false">ROUND(F680*G680*H680,0)</f>
        <v>21511</v>
      </c>
    </row>
    <row r="681" customFormat="false" ht="15" hidden="false" customHeight="false" outlineLevel="0" collapsed="false">
      <c r="A681" s="14" t="n">
        <v>46204</v>
      </c>
      <c r="B681" s="6" t="s">
        <v>33</v>
      </c>
      <c r="C681" s="6" t="s">
        <v>66</v>
      </c>
      <c r="D681" s="0" t="str">
        <f aca="false">INDEX(Clientes!$B$4:$B$15,MATCH(B681,Clientes!$A$4:$A$15,0))</f>
        <v>Transportes Rápidos del Valle</v>
      </c>
      <c r="E681" s="0" t="str">
        <f aca="false">INDEX(Catalogo_Servicios!$C$4:$C$24,MATCH(C681,Catalogo_Servicios!$A$4:$A$24,0))</f>
        <v>Declaración mensual de retenciones (D-103)</v>
      </c>
      <c r="F681" s="15" t="n">
        <v>0.25</v>
      </c>
      <c r="G681" s="16" t="n">
        <f aca="false">Parametros!$B$4</f>
        <v>28681</v>
      </c>
      <c r="H681" s="15" t="n">
        <f aca="false">INDEX(Clientes!$E$4:$E$15,MATCH(B681,Clientes!$A$4:$A$15,0))</f>
        <v>1</v>
      </c>
      <c r="I681" s="16" t="n">
        <f aca="false">ROUND(F681*G681*H681,0)</f>
        <v>7170</v>
      </c>
    </row>
    <row r="682" customFormat="false" ht="15" hidden="false" customHeight="false" outlineLevel="0" collapsed="false">
      <c r="A682" s="14" t="n">
        <v>46204</v>
      </c>
      <c r="B682" s="6" t="s">
        <v>33</v>
      </c>
      <c r="C682" s="6" t="s">
        <v>67</v>
      </c>
      <c r="D682" s="0" t="str">
        <f aca="false">INDEX(Clientes!$B$4:$B$15,MATCH(B682,Clientes!$A$4:$A$15,0))</f>
        <v>Transportes Rápidos del Valle</v>
      </c>
      <c r="E682" s="0" t="str">
        <f aca="false">INDEX(Catalogo_Servicios!$C$4:$C$24,MATCH(C682,Catalogo_Servicios!$A$4:$A$24,0))</f>
        <v>Cálculo de planillas y cargas sociales (CCSS/INS)</v>
      </c>
      <c r="F682" s="15" t="n">
        <v>6.5</v>
      </c>
      <c r="G682" s="16" t="n">
        <f aca="false">Parametros!$B$4</f>
        <v>28681</v>
      </c>
      <c r="H682" s="15" t="n">
        <f aca="false">INDEX(Clientes!$E$4:$E$15,MATCH(B682,Clientes!$A$4:$A$15,0))</f>
        <v>1</v>
      </c>
      <c r="I682" s="16" t="n">
        <f aca="false">ROUND(F682*G682*H682,0)</f>
        <v>186427</v>
      </c>
    </row>
    <row r="683" customFormat="false" ht="15" hidden="false" customHeight="false" outlineLevel="0" collapsed="false">
      <c r="A683" s="14" t="n">
        <v>46204</v>
      </c>
      <c r="B683" s="6" t="s">
        <v>35</v>
      </c>
      <c r="C683" s="6" t="s">
        <v>65</v>
      </c>
      <c r="D683" s="0" t="str">
        <f aca="false">INDEX(Clientes!$B$4:$B$15,MATCH(B683,Clientes!$A$4:$A$15,0))</f>
        <v>Taller Mecánico Hermanos Mora</v>
      </c>
      <c r="E683" s="0" t="str">
        <f aca="false">INDEX(Catalogo_Servicios!$C$4:$C$24,MATCH(C683,Catalogo_Servicios!$A$4:$A$24,0))</f>
        <v>Declaración mensual de IVA (D-104)</v>
      </c>
      <c r="F683" s="15" t="n">
        <v>1</v>
      </c>
      <c r="G683" s="16" t="n">
        <f aca="false">Parametros!$B$4</f>
        <v>28681</v>
      </c>
      <c r="H683" s="15" t="n">
        <f aca="false">INDEX(Clientes!$E$4:$E$15,MATCH(B683,Clientes!$A$4:$A$15,0))</f>
        <v>1</v>
      </c>
      <c r="I683" s="16" t="n">
        <f aca="false">ROUND(F683*G683*H683,0)</f>
        <v>28681</v>
      </c>
    </row>
    <row r="684" customFormat="false" ht="15" hidden="false" customHeight="false" outlineLevel="0" collapsed="false">
      <c r="A684" s="14" t="n">
        <v>46204</v>
      </c>
      <c r="B684" s="6" t="s">
        <v>36</v>
      </c>
      <c r="C684" s="6" t="s">
        <v>68</v>
      </c>
      <c r="D684" s="0" t="str">
        <f aca="false">INDEX(Clientes!$B$4:$B$15,MATCH(B684,Clientes!$A$4:$A$15,0))</f>
        <v>Agroservicios Cartago</v>
      </c>
      <c r="E684" s="0" t="str">
        <f aca="false">INDEX(Catalogo_Servicios!$C$4:$C$24,MATCH(C684,Catalogo_Servicios!$A$4:$A$24,0))</f>
        <v>Asesoría contable, financiera y tributaria</v>
      </c>
      <c r="F684" s="15" t="n">
        <v>1</v>
      </c>
      <c r="G684" s="16" t="n">
        <f aca="false">Parametros!$B$4</f>
        <v>28681</v>
      </c>
      <c r="H684" s="15" t="n">
        <f aca="false">INDEX(Clientes!$E$4:$E$15,MATCH(B684,Clientes!$A$4:$A$15,0))</f>
        <v>1</v>
      </c>
      <c r="I684" s="16" t="n">
        <f aca="false">ROUND(F684*G684*H684,0)</f>
        <v>28681</v>
      </c>
    </row>
    <row r="685" customFormat="false" ht="15" hidden="false" customHeight="false" outlineLevel="0" collapsed="false">
      <c r="A685" s="14" t="n">
        <v>46204</v>
      </c>
      <c r="B685" s="6" t="s">
        <v>36</v>
      </c>
      <c r="C685" s="6" t="s">
        <v>65</v>
      </c>
      <c r="D685" s="0" t="str">
        <f aca="false">INDEX(Clientes!$B$4:$B$15,MATCH(B685,Clientes!$A$4:$A$15,0))</f>
        <v>Agroservicios Cartago</v>
      </c>
      <c r="E685" s="0" t="str">
        <f aca="false">INDEX(Catalogo_Servicios!$C$4:$C$24,MATCH(C685,Catalogo_Servicios!$A$4:$A$24,0))</f>
        <v>Declaración mensual de IVA (D-104)</v>
      </c>
      <c r="F685" s="15" t="n">
        <v>0.75</v>
      </c>
      <c r="G685" s="16" t="n">
        <f aca="false">Parametros!$B$4</f>
        <v>28681</v>
      </c>
      <c r="H685" s="15" t="n">
        <f aca="false">INDEX(Clientes!$E$4:$E$15,MATCH(B685,Clientes!$A$4:$A$15,0))</f>
        <v>1</v>
      </c>
      <c r="I685" s="16" t="n">
        <f aca="false">ROUND(F685*G685*H685,0)</f>
        <v>21511</v>
      </c>
    </row>
    <row r="686" customFormat="false" ht="15" hidden="false" customHeight="false" outlineLevel="0" collapsed="false">
      <c r="A686" s="14" t="n">
        <v>46204</v>
      </c>
      <c r="B686" s="6" t="s">
        <v>36</v>
      </c>
      <c r="C686" s="6" t="s">
        <v>66</v>
      </c>
      <c r="D686" s="0" t="str">
        <f aca="false">INDEX(Clientes!$B$4:$B$15,MATCH(B686,Clientes!$A$4:$A$15,0))</f>
        <v>Agroservicios Cartago</v>
      </c>
      <c r="E686" s="0" t="str">
        <f aca="false">INDEX(Catalogo_Servicios!$C$4:$C$24,MATCH(C686,Catalogo_Servicios!$A$4:$A$24,0))</f>
        <v>Declaración mensual de retenciones (D-103)</v>
      </c>
      <c r="F686" s="15" t="n">
        <v>0.25</v>
      </c>
      <c r="G686" s="16" t="n">
        <f aca="false">Parametros!$B$4</f>
        <v>28681</v>
      </c>
      <c r="H686" s="15" t="n">
        <f aca="false">INDEX(Clientes!$E$4:$E$15,MATCH(B686,Clientes!$A$4:$A$15,0))</f>
        <v>1</v>
      </c>
      <c r="I686" s="16" t="n">
        <f aca="false">ROUND(F686*G686*H686,0)</f>
        <v>7170</v>
      </c>
    </row>
    <row r="687" customFormat="false" ht="15" hidden="false" customHeight="false" outlineLevel="0" collapsed="false">
      <c r="A687" s="14" t="n">
        <v>46204</v>
      </c>
      <c r="B687" s="6" t="s">
        <v>38</v>
      </c>
      <c r="C687" s="6" t="s">
        <v>65</v>
      </c>
      <c r="D687" s="0" t="str">
        <f aca="false">INDEX(Clientes!$B$4:$B$15,MATCH(B687,Clientes!$A$4:$A$15,0))</f>
        <v>Panadería La Espiga</v>
      </c>
      <c r="E687" s="0" t="str">
        <f aca="false">INDEX(Catalogo_Servicios!$C$4:$C$24,MATCH(C687,Catalogo_Servicios!$A$4:$A$24,0))</f>
        <v>Declaración mensual de IVA (D-104)</v>
      </c>
      <c r="F687" s="15" t="n">
        <v>0.75</v>
      </c>
      <c r="G687" s="16" t="n">
        <f aca="false">Parametros!$B$4</f>
        <v>28681</v>
      </c>
      <c r="H687" s="15" t="n">
        <f aca="false">INDEX(Clientes!$E$4:$E$15,MATCH(B687,Clientes!$A$4:$A$15,0))</f>
        <v>1</v>
      </c>
      <c r="I687" s="16" t="n">
        <f aca="false">ROUND(F687*G687*H687,0)</f>
        <v>21511</v>
      </c>
    </row>
    <row r="688" customFormat="false" ht="15" hidden="false" customHeight="false" outlineLevel="0" collapsed="false">
      <c r="A688" s="14" t="n">
        <v>46204</v>
      </c>
      <c r="B688" s="6" t="s">
        <v>38</v>
      </c>
      <c r="C688" s="6" t="s">
        <v>67</v>
      </c>
      <c r="D688" s="0" t="str">
        <f aca="false">INDEX(Clientes!$B$4:$B$15,MATCH(B688,Clientes!$A$4:$A$15,0))</f>
        <v>Panadería La Espiga</v>
      </c>
      <c r="E688" s="0" t="str">
        <f aca="false">INDEX(Catalogo_Servicios!$C$4:$C$24,MATCH(C688,Catalogo_Servicios!$A$4:$A$24,0))</f>
        <v>Cálculo de planillas y cargas sociales (CCSS/INS)</v>
      </c>
      <c r="F688" s="15" t="n">
        <v>7</v>
      </c>
      <c r="G688" s="16" t="n">
        <f aca="false">Parametros!$B$4</f>
        <v>28681</v>
      </c>
      <c r="H688" s="15" t="n">
        <f aca="false">INDEX(Clientes!$E$4:$E$15,MATCH(B688,Clientes!$A$4:$A$15,0))</f>
        <v>1</v>
      </c>
      <c r="I688" s="16" t="n">
        <f aca="false">ROUND(F688*G688*H688,0)</f>
        <v>200767</v>
      </c>
    </row>
    <row r="689" customFormat="false" ht="15" hidden="false" customHeight="false" outlineLevel="0" collapsed="false">
      <c r="A689" s="14" t="n">
        <v>46235</v>
      </c>
      <c r="B689" s="6" t="s">
        <v>29</v>
      </c>
      <c r="C689" s="6" t="s">
        <v>64</v>
      </c>
      <c r="D689" s="0" t="str">
        <f aca="false">INDEX(Clientes!$B$4:$B$15,MATCH(B689,Clientes!$A$4:$A$15,0))</f>
        <v>Distribuidora Los Andes S.A.</v>
      </c>
      <c r="E689" s="0" t="str">
        <f aca="false">INDEX(Catalogo_Servicios!$C$4:$C$24,MATCH(C689,Catalogo_Servicios!$A$4:$A$24,0))</f>
        <v>Estados financieros mensuales</v>
      </c>
      <c r="F689" s="15" t="n">
        <v>3</v>
      </c>
      <c r="G689" s="16" t="n">
        <f aca="false">Parametros!$B$4</f>
        <v>28681</v>
      </c>
      <c r="H689" s="15" t="n">
        <f aca="false">INDEX(Clientes!$E$4:$E$15,MATCH(B689,Clientes!$A$4:$A$15,0))</f>
        <v>1</v>
      </c>
      <c r="I689" s="16" t="n">
        <f aca="false">ROUND(F689*G689*H689,0)</f>
        <v>86043</v>
      </c>
    </row>
    <row r="690" customFormat="false" ht="15" hidden="false" customHeight="false" outlineLevel="0" collapsed="false">
      <c r="A690" s="14" t="n">
        <v>46235</v>
      </c>
      <c r="B690" s="6" t="s">
        <v>29</v>
      </c>
      <c r="C690" s="6" t="s">
        <v>65</v>
      </c>
      <c r="D690" s="0" t="str">
        <f aca="false">INDEX(Clientes!$B$4:$B$15,MATCH(B690,Clientes!$A$4:$A$15,0))</f>
        <v>Distribuidora Los Andes S.A.</v>
      </c>
      <c r="E690" s="0" t="str">
        <f aca="false">INDEX(Catalogo_Servicios!$C$4:$C$24,MATCH(C690,Catalogo_Servicios!$A$4:$A$24,0))</f>
        <v>Declaración mensual de IVA (D-104)</v>
      </c>
      <c r="F690" s="15" t="n">
        <v>0.75</v>
      </c>
      <c r="G690" s="16" t="n">
        <f aca="false">Parametros!$B$4</f>
        <v>28681</v>
      </c>
      <c r="H690" s="15" t="n">
        <f aca="false">INDEX(Clientes!$E$4:$E$15,MATCH(B690,Clientes!$A$4:$A$15,0))</f>
        <v>1</v>
      </c>
      <c r="I690" s="16" t="n">
        <f aca="false">ROUND(F690*G690*H690,0)</f>
        <v>21511</v>
      </c>
    </row>
    <row r="691" customFormat="false" ht="15" hidden="false" customHeight="false" outlineLevel="0" collapsed="false">
      <c r="A691" s="14" t="n">
        <v>46235</v>
      </c>
      <c r="B691" s="6" t="s">
        <v>29</v>
      </c>
      <c r="C691" s="6" t="s">
        <v>66</v>
      </c>
      <c r="D691" s="0" t="str">
        <f aca="false">INDEX(Clientes!$B$4:$B$15,MATCH(B691,Clientes!$A$4:$A$15,0))</f>
        <v>Distribuidora Los Andes S.A.</v>
      </c>
      <c r="E691" s="0" t="str">
        <f aca="false">INDEX(Catalogo_Servicios!$C$4:$C$24,MATCH(C691,Catalogo_Servicios!$A$4:$A$24,0))</f>
        <v>Declaración mensual de retenciones (D-103)</v>
      </c>
      <c r="F691" s="15" t="n">
        <v>0.25</v>
      </c>
      <c r="G691" s="16" t="n">
        <f aca="false">Parametros!$B$4</f>
        <v>28681</v>
      </c>
      <c r="H691" s="15" t="n">
        <f aca="false">INDEX(Clientes!$E$4:$E$15,MATCH(B691,Clientes!$A$4:$A$15,0))</f>
        <v>1</v>
      </c>
      <c r="I691" s="16" t="n">
        <f aca="false">ROUND(F691*G691*H691,0)</f>
        <v>7170</v>
      </c>
    </row>
    <row r="692" customFormat="false" ht="15" hidden="false" customHeight="false" outlineLevel="0" collapsed="false">
      <c r="A692" s="14" t="n">
        <v>46235</v>
      </c>
      <c r="B692" s="6" t="s">
        <v>29</v>
      </c>
      <c r="C692" s="6" t="s">
        <v>67</v>
      </c>
      <c r="D692" s="0" t="str">
        <f aca="false">INDEX(Clientes!$B$4:$B$15,MATCH(B692,Clientes!$A$4:$A$15,0))</f>
        <v>Distribuidora Los Andes S.A.</v>
      </c>
      <c r="E692" s="0" t="str">
        <f aca="false">INDEX(Catalogo_Servicios!$C$4:$C$24,MATCH(C692,Catalogo_Servicios!$A$4:$A$24,0))</f>
        <v>Cálculo de planillas y cargas sociales (CCSS/INS)</v>
      </c>
      <c r="F692" s="15" t="n">
        <v>23.5</v>
      </c>
      <c r="G692" s="16" t="n">
        <f aca="false">Parametros!$B$4</f>
        <v>28681</v>
      </c>
      <c r="H692" s="15" t="n">
        <f aca="false">INDEX(Clientes!$E$4:$E$15,MATCH(B692,Clientes!$A$4:$A$15,0))</f>
        <v>1</v>
      </c>
      <c r="I692" s="16" t="n">
        <f aca="false">ROUND(F692*G692*H692,0)</f>
        <v>674004</v>
      </c>
    </row>
    <row r="693" customFormat="false" ht="15" hidden="false" customHeight="false" outlineLevel="0" collapsed="false">
      <c r="A693" s="14" t="n">
        <v>46235</v>
      </c>
      <c r="B693" s="6" t="s">
        <v>30</v>
      </c>
      <c r="C693" s="6" t="s">
        <v>64</v>
      </c>
      <c r="D693" s="0" t="str">
        <f aca="false">INDEX(Clientes!$B$4:$B$15,MATCH(B693,Clientes!$A$4:$A$15,0))</f>
        <v>Ferretería El Tornillo</v>
      </c>
      <c r="E693" s="0" t="str">
        <f aca="false">INDEX(Catalogo_Servicios!$C$4:$C$24,MATCH(C693,Catalogo_Servicios!$A$4:$A$24,0))</f>
        <v>Estados financieros mensuales</v>
      </c>
      <c r="F693" s="15" t="n">
        <v>3.5</v>
      </c>
      <c r="G693" s="16" t="n">
        <f aca="false">Parametros!$B$4</f>
        <v>28681</v>
      </c>
      <c r="H693" s="15" t="n">
        <f aca="false">INDEX(Clientes!$E$4:$E$15,MATCH(B693,Clientes!$A$4:$A$15,0))</f>
        <v>1</v>
      </c>
      <c r="I693" s="16" t="n">
        <f aca="false">ROUND(F693*G693*H693,0)</f>
        <v>100384</v>
      </c>
    </row>
    <row r="694" customFormat="false" ht="15" hidden="false" customHeight="false" outlineLevel="0" collapsed="false">
      <c r="A694" s="14" t="n">
        <v>46235</v>
      </c>
      <c r="B694" s="6" t="s">
        <v>30</v>
      </c>
      <c r="C694" s="6" t="s">
        <v>65</v>
      </c>
      <c r="D694" s="0" t="str">
        <f aca="false">INDEX(Clientes!$B$4:$B$15,MATCH(B694,Clientes!$A$4:$A$15,0))</f>
        <v>Ferretería El Tornillo</v>
      </c>
      <c r="E694" s="0" t="str">
        <f aca="false">INDEX(Catalogo_Servicios!$C$4:$C$24,MATCH(C694,Catalogo_Servicios!$A$4:$A$24,0))</f>
        <v>Declaración mensual de IVA (D-104)</v>
      </c>
      <c r="F694" s="15" t="n">
        <v>0.75</v>
      </c>
      <c r="G694" s="16" t="n">
        <f aca="false">Parametros!$B$4</f>
        <v>28681</v>
      </c>
      <c r="H694" s="15" t="n">
        <f aca="false">INDEX(Clientes!$E$4:$E$15,MATCH(B694,Clientes!$A$4:$A$15,0))</f>
        <v>1</v>
      </c>
      <c r="I694" s="16" t="n">
        <f aca="false">ROUND(F694*G694*H694,0)</f>
        <v>21511</v>
      </c>
    </row>
    <row r="695" customFormat="false" ht="15" hidden="false" customHeight="false" outlineLevel="0" collapsed="false">
      <c r="A695" s="14" t="n">
        <v>46235</v>
      </c>
      <c r="B695" s="6" t="s">
        <v>30</v>
      </c>
      <c r="C695" s="6" t="s">
        <v>66</v>
      </c>
      <c r="D695" s="0" t="str">
        <f aca="false">INDEX(Clientes!$B$4:$B$15,MATCH(B695,Clientes!$A$4:$A$15,0))</f>
        <v>Ferretería El Tornillo</v>
      </c>
      <c r="E695" s="0" t="str">
        <f aca="false">INDEX(Catalogo_Servicios!$C$4:$C$24,MATCH(C695,Catalogo_Servicios!$A$4:$A$24,0))</f>
        <v>Declaración mensual de retenciones (D-103)</v>
      </c>
      <c r="F695" s="15" t="n">
        <v>0.25</v>
      </c>
      <c r="G695" s="16" t="n">
        <f aca="false">Parametros!$B$4</f>
        <v>28681</v>
      </c>
      <c r="H695" s="15" t="n">
        <f aca="false">INDEX(Clientes!$E$4:$E$15,MATCH(B695,Clientes!$A$4:$A$15,0))</f>
        <v>1</v>
      </c>
      <c r="I695" s="16" t="n">
        <f aca="false">ROUND(F695*G695*H695,0)</f>
        <v>7170</v>
      </c>
    </row>
    <row r="696" customFormat="false" ht="15" hidden="false" customHeight="false" outlineLevel="0" collapsed="false">
      <c r="A696" s="14" t="n">
        <v>46235</v>
      </c>
      <c r="B696" s="6" t="s">
        <v>31</v>
      </c>
      <c r="C696" s="6" t="s">
        <v>65</v>
      </c>
      <c r="D696" s="0" t="str">
        <f aca="false">INDEX(Clientes!$B$4:$B$15,MATCH(B696,Clientes!$A$4:$A$15,0))</f>
        <v>Clínica Dental Sonrisa</v>
      </c>
      <c r="E696" s="0" t="str">
        <f aca="false">INDEX(Catalogo_Servicios!$C$4:$C$24,MATCH(C696,Catalogo_Servicios!$A$4:$A$24,0))</f>
        <v>Declaración mensual de IVA (D-104)</v>
      </c>
      <c r="F696" s="15" t="n">
        <v>0.75</v>
      </c>
      <c r="G696" s="16" t="n">
        <f aca="false">Parametros!$B$4</f>
        <v>28681</v>
      </c>
      <c r="H696" s="15" t="n">
        <f aca="false">INDEX(Clientes!$E$4:$E$15,MATCH(B696,Clientes!$A$4:$A$15,0))</f>
        <v>1.1</v>
      </c>
      <c r="I696" s="16" t="n">
        <f aca="false">ROUND(F696*G696*H696,0)</f>
        <v>23662</v>
      </c>
    </row>
    <row r="697" customFormat="false" ht="15" hidden="false" customHeight="false" outlineLevel="0" collapsed="false">
      <c r="A697" s="14" t="n">
        <v>46235</v>
      </c>
      <c r="B697" s="6" t="s">
        <v>32</v>
      </c>
      <c r="C697" s="6" t="s">
        <v>65</v>
      </c>
      <c r="D697" s="0" t="str">
        <f aca="false">INDEX(Clientes!$B$4:$B$15,MATCH(B697,Clientes!$A$4:$A$15,0))</f>
        <v>Soda y Restaurante Doña Lela</v>
      </c>
      <c r="E697" s="0" t="str">
        <f aca="false">INDEX(Catalogo_Servicios!$C$4:$C$24,MATCH(C697,Catalogo_Servicios!$A$4:$A$24,0))</f>
        <v>Declaración mensual de IVA (D-104)</v>
      </c>
      <c r="F697" s="15" t="n">
        <v>1</v>
      </c>
      <c r="G697" s="16" t="n">
        <f aca="false">Parametros!$B$4</f>
        <v>28681</v>
      </c>
      <c r="H697" s="15" t="n">
        <f aca="false">INDEX(Clientes!$E$4:$E$15,MATCH(B697,Clientes!$A$4:$A$15,0))</f>
        <v>1</v>
      </c>
      <c r="I697" s="16" t="n">
        <f aca="false">ROUND(F697*G697*H697,0)</f>
        <v>28681</v>
      </c>
    </row>
    <row r="698" customFormat="false" ht="15" hidden="false" customHeight="false" outlineLevel="0" collapsed="false">
      <c r="A698" s="14" t="n">
        <v>46235</v>
      </c>
      <c r="B698" s="6" t="s">
        <v>33</v>
      </c>
      <c r="C698" s="6" t="s">
        <v>65</v>
      </c>
      <c r="D698" s="0" t="str">
        <f aca="false">INDEX(Clientes!$B$4:$B$15,MATCH(B698,Clientes!$A$4:$A$15,0))</f>
        <v>Transportes Rápidos del Valle</v>
      </c>
      <c r="E698" s="0" t="str">
        <f aca="false">INDEX(Catalogo_Servicios!$C$4:$C$24,MATCH(C698,Catalogo_Servicios!$A$4:$A$24,0))</f>
        <v>Declaración mensual de IVA (D-104)</v>
      </c>
      <c r="F698" s="15" t="n">
        <v>1</v>
      </c>
      <c r="G698" s="16" t="n">
        <f aca="false">Parametros!$B$4</f>
        <v>28681</v>
      </c>
      <c r="H698" s="15" t="n">
        <f aca="false">INDEX(Clientes!$E$4:$E$15,MATCH(B698,Clientes!$A$4:$A$15,0))</f>
        <v>1</v>
      </c>
      <c r="I698" s="16" t="n">
        <f aca="false">ROUND(F698*G698*H698,0)</f>
        <v>28681</v>
      </c>
    </row>
    <row r="699" customFormat="false" ht="15" hidden="false" customHeight="false" outlineLevel="0" collapsed="false">
      <c r="A699" s="14" t="n">
        <v>46235</v>
      </c>
      <c r="B699" s="6" t="s">
        <v>33</v>
      </c>
      <c r="C699" s="6" t="s">
        <v>66</v>
      </c>
      <c r="D699" s="0" t="str">
        <f aca="false">INDEX(Clientes!$B$4:$B$15,MATCH(B699,Clientes!$A$4:$A$15,0))</f>
        <v>Transportes Rápidos del Valle</v>
      </c>
      <c r="E699" s="0" t="str">
        <f aca="false">INDEX(Catalogo_Servicios!$C$4:$C$24,MATCH(C699,Catalogo_Servicios!$A$4:$A$24,0))</f>
        <v>Declaración mensual de retenciones (D-103)</v>
      </c>
      <c r="F699" s="15" t="n">
        <v>0.25</v>
      </c>
      <c r="G699" s="16" t="n">
        <f aca="false">Parametros!$B$4</f>
        <v>28681</v>
      </c>
      <c r="H699" s="15" t="n">
        <f aca="false">INDEX(Clientes!$E$4:$E$15,MATCH(B699,Clientes!$A$4:$A$15,0))</f>
        <v>1</v>
      </c>
      <c r="I699" s="16" t="n">
        <f aca="false">ROUND(F699*G699*H699,0)</f>
        <v>7170</v>
      </c>
    </row>
    <row r="700" customFormat="false" ht="15" hidden="false" customHeight="false" outlineLevel="0" collapsed="false">
      <c r="A700" s="14" t="n">
        <v>46235</v>
      </c>
      <c r="B700" s="6" t="s">
        <v>33</v>
      </c>
      <c r="C700" s="6" t="s">
        <v>67</v>
      </c>
      <c r="D700" s="0" t="str">
        <f aca="false">INDEX(Clientes!$B$4:$B$15,MATCH(B700,Clientes!$A$4:$A$15,0))</f>
        <v>Transportes Rápidos del Valle</v>
      </c>
      <c r="E700" s="0" t="str">
        <f aca="false">INDEX(Catalogo_Servicios!$C$4:$C$24,MATCH(C700,Catalogo_Servicios!$A$4:$A$24,0))</f>
        <v>Cálculo de planillas y cargas sociales (CCSS/INS)</v>
      </c>
      <c r="F700" s="15" t="n">
        <v>6.5</v>
      </c>
      <c r="G700" s="16" t="n">
        <f aca="false">Parametros!$B$4</f>
        <v>28681</v>
      </c>
      <c r="H700" s="15" t="n">
        <f aca="false">INDEX(Clientes!$E$4:$E$15,MATCH(B700,Clientes!$A$4:$A$15,0))</f>
        <v>1</v>
      </c>
      <c r="I700" s="16" t="n">
        <f aca="false">ROUND(F700*G700*H700,0)</f>
        <v>186427</v>
      </c>
    </row>
    <row r="701" customFormat="false" ht="15" hidden="false" customHeight="false" outlineLevel="0" collapsed="false">
      <c r="A701" s="14" t="n">
        <v>46235</v>
      </c>
      <c r="B701" s="6" t="s">
        <v>34</v>
      </c>
      <c r="C701" s="6" t="s">
        <v>68</v>
      </c>
      <c r="D701" s="0" t="str">
        <f aca="false">INDEX(Clientes!$B$4:$B$15,MATCH(B701,Clientes!$A$4:$A$15,0))</f>
        <v>Boutique Luna Nueva</v>
      </c>
      <c r="E701" s="0" t="str">
        <f aca="false">INDEX(Catalogo_Servicios!$C$4:$C$24,MATCH(C701,Catalogo_Servicios!$A$4:$A$24,0))</f>
        <v>Asesoría contable, financiera y tributaria</v>
      </c>
      <c r="F701" s="15" t="n">
        <v>1.5</v>
      </c>
      <c r="G701" s="16" t="n">
        <f aca="false">Parametros!$B$4</f>
        <v>28681</v>
      </c>
      <c r="H701" s="15" t="n">
        <f aca="false">INDEX(Clientes!$E$4:$E$15,MATCH(B701,Clientes!$A$4:$A$15,0))</f>
        <v>1.15</v>
      </c>
      <c r="I701" s="16" t="n">
        <f aca="false">ROUND(F701*G701*H701,0)</f>
        <v>49475</v>
      </c>
    </row>
    <row r="702" customFormat="false" ht="15" hidden="false" customHeight="false" outlineLevel="0" collapsed="false">
      <c r="A702" s="14" t="n">
        <v>46235</v>
      </c>
      <c r="B702" s="6" t="s">
        <v>35</v>
      </c>
      <c r="C702" s="6" t="s">
        <v>65</v>
      </c>
      <c r="D702" s="0" t="str">
        <f aca="false">INDEX(Clientes!$B$4:$B$15,MATCH(B702,Clientes!$A$4:$A$15,0))</f>
        <v>Taller Mecánico Hermanos Mora</v>
      </c>
      <c r="E702" s="0" t="str">
        <f aca="false">INDEX(Catalogo_Servicios!$C$4:$C$24,MATCH(C702,Catalogo_Servicios!$A$4:$A$24,0))</f>
        <v>Declaración mensual de IVA (D-104)</v>
      </c>
      <c r="F702" s="15" t="n">
        <v>0.75</v>
      </c>
      <c r="G702" s="16" t="n">
        <f aca="false">Parametros!$B$4</f>
        <v>28681</v>
      </c>
      <c r="H702" s="15" t="n">
        <f aca="false">INDEX(Clientes!$E$4:$E$15,MATCH(B702,Clientes!$A$4:$A$15,0))</f>
        <v>1</v>
      </c>
      <c r="I702" s="16" t="n">
        <f aca="false">ROUND(F702*G702*H702,0)</f>
        <v>21511</v>
      </c>
    </row>
    <row r="703" customFormat="false" ht="15" hidden="false" customHeight="false" outlineLevel="0" collapsed="false">
      <c r="A703" s="14" t="n">
        <v>46235</v>
      </c>
      <c r="B703" s="6" t="s">
        <v>36</v>
      </c>
      <c r="C703" s="6" t="s">
        <v>65</v>
      </c>
      <c r="D703" s="0" t="str">
        <f aca="false">INDEX(Clientes!$B$4:$B$15,MATCH(B703,Clientes!$A$4:$A$15,0))</f>
        <v>Agroservicios Cartago</v>
      </c>
      <c r="E703" s="0" t="str">
        <f aca="false">INDEX(Catalogo_Servicios!$C$4:$C$24,MATCH(C703,Catalogo_Servicios!$A$4:$A$24,0))</f>
        <v>Declaración mensual de IVA (D-104)</v>
      </c>
      <c r="F703" s="15" t="n">
        <v>0.75</v>
      </c>
      <c r="G703" s="16" t="n">
        <f aca="false">Parametros!$B$4</f>
        <v>28681</v>
      </c>
      <c r="H703" s="15" t="n">
        <f aca="false">INDEX(Clientes!$E$4:$E$15,MATCH(B703,Clientes!$A$4:$A$15,0))</f>
        <v>1</v>
      </c>
      <c r="I703" s="16" t="n">
        <f aca="false">ROUND(F703*G703*H703,0)</f>
        <v>21511</v>
      </c>
    </row>
    <row r="704" customFormat="false" ht="15" hidden="false" customHeight="false" outlineLevel="0" collapsed="false">
      <c r="A704" s="14" t="n">
        <v>46235</v>
      </c>
      <c r="B704" s="6" t="s">
        <v>36</v>
      </c>
      <c r="C704" s="6" t="s">
        <v>66</v>
      </c>
      <c r="D704" s="0" t="str">
        <f aca="false">INDEX(Clientes!$B$4:$B$15,MATCH(B704,Clientes!$A$4:$A$15,0))</f>
        <v>Agroservicios Cartago</v>
      </c>
      <c r="E704" s="0" t="str">
        <f aca="false">INDEX(Catalogo_Servicios!$C$4:$C$24,MATCH(C704,Catalogo_Servicios!$A$4:$A$24,0))</f>
        <v>Declaración mensual de retenciones (D-103)</v>
      </c>
      <c r="F704" s="15" t="n">
        <v>0.25</v>
      </c>
      <c r="G704" s="16" t="n">
        <f aca="false">Parametros!$B$4</f>
        <v>28681</v>
      </c>
      <c r="H704" s="15" t="n">
        <f aca="false">INDEX(Clientes!$E$4:$E$15,MATCH(B704,Clientes!$A$4:$A$15,0))</f>
        <v>1</v>
      </c>
      <c r="I704" s="16" t="n">
        <f aca="false">ROUND(F704*G704*H704,0)</f>
        <v>7170</v>
      </c>
    </row>
    <row r="705" customFormat="false" ht="15" hidden="false" customHeight="false" outlineLevel="0" collapsed="false">
      <c r="A705" s="14" t="n">
        <v>46235</v>
      </c>
      <c r="B705" s="6" t="s">
        <v>38</v>
      </c>
      <c r="C705" s="6" t="s">
        <v>65</v>
      </c>
      <c r="D705" s="0" t="str">
        <f aca="false">INDEX(Clientes!$B$4:$B$15,MATCH(B705,Clientes!$A$4:$A$15,0))</f>
        <v>Panadería La Espiga</v>
      </c>
      <c r="E705" s="0" t="str">
        <f aca="false">INDEX(Catalogo_Servicios!$C$4:$C$24,MATCH(C705,Catalogo_Servicios!$A$4:$A$24,0))</f>
        <v>Declaración mensual de IVA (D-104)</v>
      </c>
      <c r="F705" s="15" t="n">
        <v>0.75</v>
      </c>
      <c r="G705" s="16" t="n">
        <f aca="false">Parametros!$B$4</f>
        <v>28681</v>
      </c>
      <c r="H705" s="15" t="n">
        <f aca="false">INDEX(Clientes!$E$4:$E$15,MATCH(B705,Clientes!$A$4:$A$15,0))</f>
        <v>1</v>
      </c>
      <c r="I705" s="16" t="n">
        <f aca="false">ROUND(F705*G705*H705,0)</f>
        <v>21511</v>
      </c>
    </row>
    <row r="706" customFormat="false" ht="15" hidden="false" customHeight="false" outlineLevel="0" collapsed="false">
      <c r="A706" s="14" t="n">
        <v>46235</v>
      </c>
      <c r="B706" s="6" t="s">
        <v>38</v>
      </c>
      <c r="C706" s="6" t="s">
        <v>67</v>
      </c>
      <c r="D706" s="0" t="str">
        <f aca="false">INDEX(Clientes!$B$4:$B$15,MATCH(B706,Clientes!$A$4:$A$15,0))</f>
        <v>Panadería La Espiga</v>
      </c>
      <c r="E706" s="0" t="str">
        <f aca="false">INDEX(Catalogo_Servicios!$C$4:$C$24,MATCH(C706,Catalogo_Servicios!$A$4:$A$24,0))</f>
        <v>Cálculo de planillas y cargas sociales (CCSS/INS)</v>
      </c>
      <c r="F706" s="15" t="n">
        <v>7.5</v>
      </c>
      <c r="G706" s="16" t="n">
        <f aca="false">Parametros!$B$4</f>
        <v>28681</v>
      </c>
      <c r="H706" s="15" t="n">
        <f aca="false">INDEX(Clientes!$E$4:$E$15,MATCH(B706,Clientes!$A$4:$A$15,0))</f>
        <v>1</v>
      </c>
      <c r="I706" s="16" t="n">
        <f aca="false">ROUND(F706*G706*H706,0)</f>
        <v>215108</v>
      </c>
    </row>
    <row r="707" customFormat="false" ht="15" hidden="false" customHeight="false" outlineLevel="0" collapsed="false">
      <c r="A707" s="14" t="n">
        <v>46266</v>
      </c>
      <c r="B707" s="6" t="s">
        <v>29</v>
      </c>
      <c r="C707" s="6" t="s">
        <v>64</v>
      </c>
      <c r="D707" s="0" t="str">
        <f aca="false">INDEX(Clientes!$B$4:$B$15,MATCH(B707,Clientes!$A$4:$A$15,0))</f>
        <v>Distribuidora Los Andes S.A.</v>
      </c>
      <c r="E707" s="0" t="str">
        <f aca="false">INDEX(Catalogo_Servicios!$C$4:$C$24,MATCH(C707,Catalogo_Servicios!$A$4:$A$24,0))</f>
        <v>Estados financieros mensuales</v>
      </c>
      <c r="F707" s="15" t="n">
        <v>3</v>
      </c>
      <c r="G707" s="16" t="n">
        <f aca="false">Parametros!$B$4</f>
        <v>28681</v>
      </c>
      <c r="H707" s="15" t="n">
        <f aca="false">INDEX(Clientes!$E$4:$E$15,MATCH(B707,Clientes!$A$4:$A$15,0))</f>
        <v>1</v>
      </c>
      <c r="I707" s="16" t="n">
        <f aca="false">ROUND(F707*G707*H707,0)</f>
        <v>86043</v>
      </c>
    </row>
    <row r="708" customFormat="false" ht="15" hidden="false" customHeight="false" outlineLevel="0" collapsed="false">
      <c r="A708" s="14" t="n">
        <v>46266</v>
      </c>
      <c r="B708" s="6" t="s">
        <v>29</v>
      </c>
      <c r="C708" s="6" t="s">
        <v>65</v>
      </c>
      <c r="D708" s="0" t="str">
        <f aca="false">INDEX(Clientes!$B$4:$B$15,MATCH(B708,Clientes!$A$4:$A$15,0))</f>
        <v>Distribuidora Los Andes S.A.</v>
      </c>
      <c r="E708" s="0" t="str">
        <f aca="false">INDEX(Catalogo_Servicios!$C$4:$C$24,MATCH(C708,Catalogo_Servicios!$A$4:$A$24,0))</f>
        <v>Declaración mensual de IVA (D-104)</v>
      </c>
      <c r="F708" s="15" t="n">
        <v>0.75</v>
      </c>
      <c r="G708" s="16" t="n">
        <f aca="false">Parametros!$B$4</f>
        <v>28681</v>
      </c>
      <c r="H708" s="15" t="n">
        <f aca="false">INDEX(Clientes!$E$4:$E$15,MATCH(B708,Clientes!$A$4:$A$15,0))</f>
        <v>1</v>
      </c>
      <c r="I708" s="16" t="n">
        <f aca="false">ROUND(F708*G708*H708,0)</f>
        <v>21511</v>
      </c>
    </row>
    <row r="709" customFormat="false" ht="15" hidden="false" customHeight="false" outlineLevel="0" collapsed="false">
      <c r="A709" s="14" t="n">
        <v>46266</v>
      </c>
      <c r="B709" s="6" t="s">
        <v>29</v>
      </c>
      <c r="C709" s="6" t="s">
        <v>66</v>
      </c>
      <c r="D709" s="0" t="str">
        <f aca="false">INDEX(Clientes!$B$4:$B$15,MATCH(B709,Clientes!$A$4:$A$15,0))</f>
        <v>Distribuidora Los Andes S.A.</v>
      </c>
      <c r="E709" s="0" t="str">
        <f aca="false">INDEX(Catalogo_Servicios!$C$4:$C$24,MATCH(C709,Catalogo_Servicios!$A$4:$A$24,0))</f>
        <v>Declaración mensual de retenciones (D-103)</v>
      </c>
      <c r="F709" s="15" t="n">
        <v>0.25</v>
      </c>
      <c r="G709" s="16" t="n">
        <f aca="false">Parametros!$B$4</f>
        <v>28681</v>
      </c>
      <c r="H709" s="15" t="n">
        <f aca="false">INDEX(Clientes!$E$4:$E$15,MATCH(B709,Clientes!$A$4:$A$15,0))</f>
        <v>1</v>
      </c>
      <c r="I709" s="16" t="n">
        <f aca="false">ROUND(F709*G709*H709,0)</f>
        <v>7170</v>
      </c>
    </row>
    <row r="710" customFormat="false" ht="15" hidden="false" customHeight="false" outlineLevel="0" collapsed="false">
      <c r="A710" s="14" t="n">
        <v>46266</v>
      </c>
      <c r="B710" s="6" t="s">
        <v>29</v>
      </c>
      <c r="C710" s="6" t="s">
        <v>67</v>
      </c>
      <c r="D710" s="0" t="str">
        <f aca="false">INDEX(Clientes!$B$4:$B$15,MATCH(B710,Clientes!$A$4:$A$15,0))</f>
        <v>Distribuidora Los Andes S.A.</v>
      </c>
      <c r="E710" s="0" t="str">
        <f aca="false">INDEX(Catalogo_Servicios!$C$4:$C$24,MATCH(C710,Catalogo_Servicios!$A$4:$A$24,0))</f>
        <v>Cálculo de planillas y cargas sociales (CCSS/INS)</v>
      </c>
      <c r="F710" s="15" t="n">
        <v>23.5</v>
      </c>
      <c r="G710" s="16" t="n">
        <f aca="false">Parametros!$B$4</f>
        <v>28681</v>
      </c>
      <c r="H710" s="15" t="n">
        <f aca="false">INDEX(Clientes!$E$4:$E$15,MATCH(B710,Clientes!$A$4:$A$15,0))</f>
        <v>1</v>
      </c>
      <c r="I710" s="16" t="n">
        <f aca="false">ROUND(F710*G710*H710,0)</f>
        <v>674004</v>
      </c>
    </row>
    <row r="711" customFormat="false" ht="15" hidden="false" customHeight="false" outlineLevel="0" collapsed="false">
      <c r="A711" s="14" t="n">
        <v>46266</v>
      </c>
      <c r="B711" s="6" t="s">
        <v>30</v>
      </c>
      <c r="C711" s="6" t="s">
        <v>64</v>
      </c>
      <c r="D711" s="0" t="str">
        <f aca="false">INDEX(Clientes!$B$4:$B$15,MATCH(B711,Clientes!$A$4:$A$15,0))</f>
        <v>Ferretería El Tornillo</v>
      </c>
      <c r="E711" s="0" t="str">
        <f aca="false">INDEX(Catalogo_Servicios!$C$4:$C$24,MATCH(C711,Catalogo_Servicios!$A$4:$A$24,0))</f>
        <v>Estados financieros mensuales</v>
      </c>
      <c r="F711" s="15" t="n">
        <v>3.75</v>
      </c>
      <c r="G711" s="16" t="n">
        <f aca="false">Parametros!$B$4</f>
        <v>28681</v>
      </c>
      <c r="H711" s="15" t="n">
        <f aca="false">INDEX(Clientes!$E$4:$E$15,MATCH(B711,Clientes!$A$4:$A$15,0))</f>
        <v>1</v>
      </c>
      <c r="I711" s="16" t="n">
        <f aca="false">ROUND(F711*G711*H711,0)</f>
        <v>107554</v>
      </c>
    </row>
    <row r="712" customFormat="false" ht="15" hidden="false" customHeight="false" outlineLevel="0" collapsed="false">
      <c r="A712" s="14" t="n">
        <v>46266</v>
      </c>
      <c r="B712" s="6" t="s">
        <v>30</v>
      </c>
      <c r="C712" s="6" t="s">
        <v>65</v>
      </c>
      <c r="D712" s="0" t="str">
        <f aca="false">INDEX(Clientes!$B$4:$B$15,MATCH(B712,Clientes!$A$4:$A$15,0))</f>
        <v>Ferretería El Tornillo</v>
      </c>
      <c r="E712" s="0" t="str">
        <f aca="false">INDEX(Catalogo_Servicios!$C$4:$C$24,MATCH(C712,Catalogo_Servicios!$A$4:$A$24,0))</f>
        <v>Declaración mensual de IVA (D-104)</v>
      </c>
      <c r="F712" s="15" t="n">
        <v>0.75</v>
      </c>
      <c r="G712" s="16" t="n">
        <f aca="false">Parametros!$B$4</f>
        <v>28681</v>
      </c>
      <c r="H712" s="15" t="n">
        <f aca="false">INDEX(Clientes!$E$4:$E$15,MATCH(B712,Clientes!$A$4:$A$15,0))</f>
        <v>1</v>
      </c>
      <c r="I712" s="16" t="n">
        <f aca="false">ROUND(F712*G712*H712,0)</f>
        <v>21511</v>
      </c>
    </row>
    <row r="713" customFormat="false" ht="15" hidden="false" customHeight="false" outlineLevel="0" collapsed="false">
      <c r="A713" s="14" t="n">
        <v>46266</v>
      </c>
      <c r="B713" s="6" t="s">
        <v>30</v>
      </c>
      <c r="C713" s="6" t="s">
        <v>66</v>
      </c>
      <c r="D713" s="0" t="str">
        <f aca="false">INDEX(Clientes!$B$4:$B$15,MATCH(B713,Clientes!$A$4:$A$15,0))</f>
        <v>Ferretería El Tornillo</v>
      </c>
      <c r="E713" s="0" t="str">
        <f aca="false">INDEX(Catalogo_Servicios!$C$4:$C$24,MATCH(C713,Catalogo_Servicios!$A$4:$A$24,0))</f>
        <v>Declaración mensual de retenciones (D-103)</v>
      </c>
      <c r="F713" s="15" t="n">
        <v>0.25</v>
      </c>
      <c r="G713" s="16" t="n">
        <f aca="false">Parametros!$B$4</f>
        <v>28681</v>
      </c>
      <c r="H713" s="15" t="n">
        <f aca="false">INDEX(Clientes!$E$4:$E$15,MATCH(B713,Clientes!$A$4:$A$15,0))</f>
        <v>1</v>
      </c>
      <c r="I713" s="16" t="n">
        <f aca="false">ROUND(F713*G713*H713,0)</f>
        <v>7170</v>
      </c>
    </row>
    <row r="714" customFormat="false" ht="15" hidden="false" customHeight="false" outlineLevel="0" collapsed="false">
      <c r="A714" s="14" t="n">
        <v>46266</v>
      </c>
      <c r="B714" s="6" t="s">
        <v>31</v>
      </c>
      <c r="C714" s="6" t="s">
        <v>65</v>
      </c>
      <c r="D714" s="0" t="str">
        <f aca="false">INDEX(Clientes!$B$4:$B$15,MATCH(B714,Clientes!$A$4:$A$15,0))</f>
        <v>Clínica Dental Sonrisa</v>
      </c>
      <c r="E714" s="0" t="str">
        <f aca="false">INDEX(Catalogo_Servicios!$C$4:$C$24,MATCH(C714,Catalogo_Servicios!$A$4:$A$24,0))</f>
        <v>Declaración mensual de IVA (D-104)</v>
      </c>
      <c r="F714" s="15" t="n">
        <v>0.75</v>
      </c>
      <c r="G714" s="16" t="n">
        <f aca="false">Parametros!$B$4</f>
        <v>28681</v>
      </c>
      <c r="H714" s="15" t="n">
        <f aca="false">INDEX(Clientes!$E$4:$E$15,MATCH(B714,Clientes!$A$4:$A$15,0))</f>
        <v>1.1</v>
      </c>
      <c r="I714" s="16" t="n">
        <f aca="false">ROUND(F714*G714*H714,0)</f>
        <v>23662</v>
      </c>
    </row>
    <row r="715" customFormat="false" ht="15" hidden="false" customHeight="false" outlineLevel="0" collapsed="false">
      <c r="A715" s="14" t="n">
        <v>46266</v>
      </c>
      <c r="B715" s="6" t="s">
        <v>32</v>
      </c>
      <c r="C715" s="6" t="s">
        <v>65</v>
      </c>
      <c r="D715" s="0" t="str">
        <f aca="false">INDEX(Clientes!$B$4:$B$15,MATCH(B715,Clientes!$A$4:$A$15,0))</f>
        <v>Soda y Restaurante Doña Lela</v>
      </c>
      <c r="E715" s="0" t="str">
        <f aca="false">INDEX(Catalogo_Servicios!$C$4:$C$24,MATCH(C715,Catalogo_Servicios!$A$4:$A$24,0))</f>
        <v>Declaración mensual de IVA (D-104)</v>
      </c>
      <c r="F715" s="15" t="n">
        <v>1</v>
      </c>
      <c r="G715" s="16" t="n">
        <f aca="false">Parametros!$B$4</f>
        <v>28681</v>
      </c>
      <c r="H715" s="15" t="n">
        <f aca="false">INDEX(Clientes!$E$4:$E$15,MATCH(B715,Clientes!$A$4:$A$15,0))</f>
        <v>1</v>
      </c>
      <c r="I715" s="16" t="n">
        <f aca="false">ROUND(F715*G715*H715,0)</f>
        <v>28681</v>
      </c>
    </row>
    <row r="716" customFormat="false" ht="15" hidden="false" customHeight="false" outlineLevel="0" collapsed="false">
      <c r="A716" s="14" t="n">
        <v>46266</v>
      </c>
      <c r="B716" s="6" t="s">
        <v>33</v>
      </c>
      <c r="C716" s="6" t="s">
        <v>65</v>
      </c>
      <c r="D716" s="0" t="str">
        <f aca="false">INDEX(Clientes!$B$4:$B$15,MATCH(B716,Clientes!$A$4:$A$15,0))</f>
        <v>Transportes Rápidos del Valle</v>
      </c>
      <c r="E716" s="0" t="str">
        <f aca="false">INDEX(Catalogo_Servicios!$C$4:$C$24,MATCH(C716,Catalogo_Servicios!$A$4:$A$24,0))</f>
        <v>Declaración mensual de IVA (D-104)</v>
      </c>
      <c r="F716" s="15" t="n">
        <v>0.75</v>
      </c>
      <c r="G716" s="16" t="n">
        <f aca="false">Parametros!$B$4</f>
        <v>28681</v>
      </c>
      <c r="H716" s="15" t="n">
        <f aca="false">INDEX(Clientes!$E$4:$E$15,MATCH(B716,Clientes!$A$4:$A$15,0))</f>
        <v>1</v>
      </c>
      <c r="I716" s="16" t="n">
        <f aca="false">ROUND(F716*G716*H716,0)</f>
        <v>21511</v>
      </c>
    </row>
    <row r="717" customFormat="false" ht="15" hidden="false" customHeight="false" outlineLevel="0" collapsed="false">
      <c r="A717" s="14" t="n">
        <v>46266</v>
      </c>
      <c r="B717" s="6" t="s">
        <v>33</v>
      </c>
      <c r="C717" s="6" t="s">
        <v>66</v>
      </c>
      <c r="D717" s="0" t="str">
        <f aca="false">INDEX(Clientes!$B$4:$B$15,MATCH(B717,Clientes!$A$4:$A$15,0))</f>
        <v>Transportes Rápidos del Valle</v>
      </c>
      <c r="E717" s="0" t="str">
        <f aca="false">INDEX(Catalogo_Servicios!$C$4:$C$24,MATCH(C717,Catalogo_Servicios!$A$4:$A$24,0))</f>
        <v>Declaración mensual de retenciones (D-103)</v>
      </c>
      <c r="F717" s="15" t="n">
        <v>0.25</v>
      </c>
      <c r="G717" s="16" t="n">
        <f aca="false">Parametros!$B$4</f>
        <v>28681</v>
      </c>
      <c r="H717" s="15" t="n">
        <f aca="false">INDEX(Clientes!$E$4:$E$15,MATCH(B717,Clientes!$A$4:$A$15,0))</f>
        <v>1</v>
      </c>
      <c r="I717" s="16" t="n">
        <f aca="false">ROUND(F717*G717*H717,0)</f>
        <v>7170</v>
      </c>
    </row>
    <row r="718" customFormat="false" ht="15" hidden="false" customHeight="false" outlineLevel="0" collapsed="false">
      <c r="A718" s="14" t="n">
        <v>46266</v>
      </c>
      <c r="B718" s="6" t="s">
        <v>33</v>
      </c>
      <c r="C718" s="6" t="s">
        <v>67</v>
      </c>
      <c r="D718" s="0" t="str">
        <f aca="false">INDEX(Clientes!$B$4:$B$15,MATCH(B718,Clientes!$A$4:$A$15,0))</f>
        <v>Transportes Rápidos del Valle</v>
      </c>
      <c r="E718" s="0" t="str">
        <f aca="false">INDEX(Catalogo_Servicios!$C$4:$C$24,MATCH(C718,Catalogo_Servicios!$A$4:$A$24,0))</f>
        <v>Cálculo de planillas y cargas sociales (CCSS/INS)</v>
      </c>
      <c r="F718" s="15" t="n">
        <v>6.5</v>
      </c>
      <c r="G718" s="16" t="n">
        <f aca="false">Parametros!$B$4</f>
        <v>28681</v>
      </c>
      <c r="H718" s="15" t="n">
        <f aca="false">INDEX(Clientes!$E$4:$E$15,MATCH(B718,Clientes!$A$4:$A$15,0))</f>
        <v>1</v>
      </c>
      <c r="I718" s="16" t="n">
        <f aca="false">ROUND(F718*G718*H718,0)</f>
        <v>186427</v>
      </c>
    </row>
    <row r="719" customFormat="false" ht="15" hidden="false" customHeight="false" outlineLevel="0" collapsed="false">
      <c r="A719" s="14" t="n">
        <v>46266</v>
      </c>
      <c r="B719" s="6" t="s">
        <v>34</v>
      </c>
      <c r="C719" s="6" t="s">
        <v>68</v>
      </c>
      <c r="D719" s="0" t="str">
        <f aca="false">INDEX(Clientes!$B$4:$B$15,MATCH(B719,Clientes!$A$4:$A$15,0))</f>
        <v>Boutique Luna Nueva</v>
      </c>
      <c r="E719" s="0" t="str">
        <f aca="false">INDEX(Catalogo_Servicios!$C$4:$C$24,MATCH(C719,Catalogo_Servicios!$A$4:$A$24,0))</f>
        <v>Asesoría contable, financiera y tributaria</v>
      </c>
      <c r="F719" s="15" t="n">
        <v>1</v>
      </c>
      <c r="G719" s="16" t="n">
        <f aca="false">Parametros!$B$4</f>
        <v>28681</v>
      </c>
      <c r="H719" s="15" t="n">
        <f aca="false">INDEX(Clientes!$E$4:$E$15,MATCH(B719,Clientes!$A$4:$A$15,0))</f>
        <v>1.15</v>
      </c>
      <c r="I719" s="16" t="n">
        <f aca="false">ROUND(F719*G719*H719,0)</f>
        <v>32983</v>
      </c>
    </row>
    <row r="720" customFormat="false" ht="15" hidden="false" customHeight="false" outlineLevel="0" collapsed="false">
      <c r="A720" s="14" t="n">
        <v>46266</v>
      </c>
      <c r="B720" s="6" t="s">
        <v>35</v>
      </c>
      <c r="C720" s="6" t="s">
        <v>65</v>
      </c>
      <c r="D720" s="0" t="str">
        <f aca="false">INDEX(Clientes!$B$4:$B$15,MATCH(B720,Clientes!$A$4:$A$15,0))</f>
        <v>Taller Mecánico Hermanos Mora</v>
      </c>
      <c r="E720" s="0" t="str">
        <f aca="false">INDEX(Catalogo_Servicios!$C$4:$C$24,MATCH(C720,Catalogo_Servicios!$A$4:$A$24,0))</f>
        <v>Declaración mensual de IVA (D-104)</v>
      </c>
      <c r="F720" s="15" t="n">
        <v>0.75</v>
      </c>
      <c r="G720" s="16" t="n">
        <f aca="false">Parametros!$B$4</f>
        <v>28681</v>
      </c>
      <c r="H720" s="15" t="n">
        <f aca="false">INDEX(Clientes!$E$4:$E$15,MATCH(B720,Clientes!$A$4:$A$15,0))</f>
        <v>1</v>
      </c>
      <c r="I720" s="16" t="n">
        <f aca="false">ROUND(F720*G720*H720,0)</f>
        <v>21511</v>
      </c>
    </row>
    <row r="721" customFormat="false" ht="15" hidden="false" customHeight="false" outlineLevel="0" collapsed="false">
      <c r="A721" s="14" t="n">
        <v>46266</v>
      </c>
      <c r="B721" s="6" t="s">
        <v>36</v>
      </c>
      <c r="C721" s="6" t="s">
        <v>65</v>
      </c>
      <c r="D721" s="0" t="str">
        <f aca="false">INDEX(Clientes!$B$4:$B$15,MATCH(B721,Clientes!$A$4:$A$15,0))</f>
        <v>Agroservicios Cartago</v>
      </c>
      <c r="E721" s="0" t="str">
        <f aca="false">INDEX(Catalogo_Servicios!$C$4:$C$24,MATCH(C721,Catalogo_Servicios!$A$4:$A$24,0))</f>
        <v>Declaración mensual de IVA (D-104)</v>
      </c>
      <c r="F721" s="15" t="n">
        <v>1</v>
      </c>
      <c r="G721" s="16" t="n">
        <f aca="false">Parametros!$B$4</f>
        <v>28681</v>
      </c>
      <c r="H721" s="15" t="n">
        <f aca="false">INDEX(Clientes!$E$4:$E$15,MATCH(B721,Clientes!$A$4:$A$15,0))</f>
        <v>1</v>
      </c>
      <c r="I721" s="16" t="n">
        <f aca="false">ROUND(F721*G721*H721,0)</f>
        <v>28681</v>
      </c>
    </row>
    <row r="722" customFormat="false" ht="15" hidden="false" customHeight="false" outlineLevel="0" collapsed="false">
      <c r="A722" s="14" t="n">
        <v>46266</v>
      </c>
      <c r="B722" s="6" t="s">
        <v>36</v>
      </c>
      <c r="C722" s="6" t="s">
        <v>66</v>
      </c>
      <c r="D722" s="0" t="str">
        <f aca="false">INDEX(Clientes!$B$4:$B$15,MATCH(B722,Clientes!$A$4:$A$15,0))</f>
        <v>Agroservicios Cartago</v>
      </c>
      <c r="E722" s="0" t="str">
        <f aca="false">INDEX(Catalogo_Servicios!$C$4:$C$24,MATCH(C722,Catalogo_Servicios!$A$4:$A$24,0))</f>
        <v>Declaración mensual de retenciones (D-103)</v>
      </c>
      <c r="F722" s="15" t="n">
        <v>0.25</v>
      </c>
      <c r="G722" s="16" t="n">
        <f aca="false">Parametros!$B$4</f>
        <v>28681</v>
      </c>
      <c r="H722" s="15" t="n">
        <f aca="false">INDEX(Clientes!$E$4:$E$15,MATCH(B722,Clientes!$A$4:$A$15,0))</f>
        <v>1</v>
      </c>
      <c r="I722" s="16" t="n">
        <f aca="false">ROUND(F722*G722*H722,0)</f>
        <v>7170</v>
      </c>
    </row>
    <row r="723" customFormat="false" ht="15" hidden="false" customHeight="false" outlineLevel="0" collapsed="false">
      <c r="A723" s="14" t="n">
        <v>46266</v>
      </c>
      <c r="B723" s="6" t="s">
        <v>38</v>
      </c>
      <c r="C723" s="6" t="s">
        <v>65</v>
      </c>
      <c r="D723" s="0" t="str">
        <f aca="false">INDEX(Clientes!$B$4:$B$15,MATCH(B723,Clientes!$A$4:$A$15,0))</f>
        <v>Panadería La Espiga</v>
      </c>
      <c r="E723" s="0" t="str">
        <f aca="false">INDEX(Catalogo_Servicios!$C$4:$C$24,MATCH(C723,Catalogo_Servicios!$A$4:$A$24,0))</f>
        <v>Declaración mensual de IVA (D-104)</v>
      </c>
      <c r="F723" s="15" t="n">
        <v>1</v>
      </c>
      <c r="G723" s="16" t="n">
        <f aca="false">Parametros!$B$4</f>
        <v>28681</v>
      </c>
      <c r="H723" s="15" t="n">
        <f aca="false">INDEX(Clientes!$E$4:$E$15,MATCH(B723,Clientes!$A$4:$A$15,0))</f>
        <v>1</v>
      </c>
      <c r="I723" s="16" t="n">
        <f aca="false">ROUND(F723*G723*H723,0)</f>
        <v>28681</v>
      </c>
    </row>
    <row r="724" customFormat="false" ht="15" hidden="false" customHeight="false" outlineLevel="0" collapsed="false">
      <c r="A724" s="14" t="n">
        <v>46266</v>
      </c>
      <c r="B724" s="6" t="s">
        <v>38</v>
      </c>
      <c r="C724" s="6" t="s">
        <v>67</v>
      </c>
      <c r="D724" s="0" t="str">
        <f aca="false">INDEX(Clientes!$B$4:$B$15,MATCH(B724,Clientes!$A$4:$A$15,0))</f>
        <v>Panadería La Espiga</v>
      </c>
      <c r="E724" s="0" t="str">
        <f aca="false">INDEX(Catalogo_Servicios!$C$4:$C$24,MATCH(C724,Catalogo_Servicios!$A$4:$A$24,0))</f>
        <v>Cálculo de planillas y cargas sociales (CCSS/INS)</v>
      </c>
      <c r="F724" s="15" t="n">
        <v>8</v>
      </c>
      <c r="G724" s="16" t="n">
        <f aca="false">Parametros!$B$4</f>
        <v>28681</v>
      </c>
      <c r="H724" s="15" t="n">
        <f aca="false">INDEX(Clientes!$E$4:$E$15,MATCH(B724,Clientes!$A$4:$A$15,0))</f>
        <v>1</v>
      </c>
      <c r="I724" s="16" t="n">
        <f aca="false">ROUND(F724*G724*H724,0)</f>
        <v>229448</v>
      </c>
    </row>
  </sheetData>
  <autoFilter ref="A3:I7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7" min="2" style="0" width="19"/>
  </cols>
  <sheetData>
    <row r="1" customFormat="false" ht="16.15" hidden="false" customHeight="false" outlineLevel="0" collapsed="false">
      <c r="A1" s="1" t="s">
        <v>77</v>
      </c>
    </row>
    <row r="3" customFormat="false" ht="31.5" hidden="false" customHeight="true" outlineLevel="0" collapsed="false">
      <c r="A3" s="2" t="s">
        <v>1</v>
      </c>
      <c r="B3" s="2" t="s">
        <v>78</v>
      </c>
      <c r="C3" s="2" t="s">
        <v>79</v>
      </c>
      <c r="D3" s="2" t="s">
        <v>80</v>
      </c>
      <c r="E3" s="2" t="s">
        <v>81</v>
      </c>
      <c r="F3" s="2" t="s">
        <v>82</v>
      </c>
      <c r="G3" s="2" t="s">
        <v>53</v>
      </c>
    </row>
    <row r="4" customFormat="false" ht="15" hidden="false" customHeight="false" outlineLevel="0" collapsed="false">
      <c r="A4" s="4" t="n">
        <v>45200</v>
      </c>
      <c r="B4" s="7" t="n">
        <f aca="false">COUNTIFS(Facturacion!$A$4:$A$724,$A4,Facturacion!$C$4:$C$724,"S03")</f>
        <v>8</v>
      </c>
      <c r="C4" s="7" t="n">
        <f aca="false">COUNTIFS(Facturacion!$A$4:$A$724,$A4,Facturacion!$C$4:$C$724,"S04")</f>
        <v>4</v>
      </c>
      <c r="D4" s="7" t="n">
        <f aca="false">COUNTIFS(Facturacion!$A$4:$A$724,$A4,Facturacion!$C$4:$C$724,"S06")</f>
        <v>0</v>
      </c>
      <c r="E4" s="7" t="n">
        <f aca="false">COUNTIFS(Facturacion!$A$4:$A$724,$A4,Facturacion!$C$4:$C$724,"S05")+COUNTIFS(Facturacion!$A$4:$A$724,$A4,Facturacion!$C$4:$C$724,"S14")</f>
        <v>3</v>
      </c>
      <c r="F4" s="7" t="n">
        <f aca="false">COUNTIFS(Facturacion!$A$4:$A$724,$A4,Facturacion!$C$4:$C$724,"S13")</f>
        <v>0</v>
      </c>
      <c r="G4" s="17" t="n">
        <f aca="false">SUM(B4:F4)</f>
        <v>15</v>
      </c>
    </row>
    <row r="5" customFormat="false" ht="15" hidden="false" customHeight="false" outlineLevel="0" collapsed="false">
      <c r="A5" s="4" t="n">
        <v>45231</v>
      </c>
      <c r="B5" s="7" t="n">
        <f aca="false">COUNTIFS(Facturacion!$A$4:$A$724,$A5,Facturacion!$C$4:$C$724,"S03")</f>
        <v>8</v>
      </c>
      <c r="C5" s="7" t="n">
        <f aca="false">COUNTIFS(Facturacion!$A$4:$A$724,$A5,Facturacion!$C$4:$C$724,"S04")</f>
        <v>4</v>
      </c>
      <c r="D5" s="7" t="n">
        <f aca="false">COUNTIFS(Facturacion!$A$4:$A$724,$A5,Facturacion!$C$4:$C$724,"S06")</f>
        <v>0</v>
      </c>
      <c r="E5" s="7" t="n">
        <f aca="false">COUNTIFS(Facturacion!$A$4:$A$724,$A5,Facturacion!$C$4:$C$724,"S05")+COUNTIFS(Facturacion!$A$4:$A$724,$A5,Facturacion!$C$4:$C$724,"S14")</f>
        <v>3</v>
      </c>
      <c r="F5" s="7" t="n">
        <f aca="false">COUNTIFS(Facturacion!$A$4:$A$724,$A5,Facturacion!$C$4:$C$724,"S13")</f>
        <v>0</v>
      </c>
      <c r="G5" s="17" t="n">
        <f aca="false">SUM(B5:F5)</f>
        <v>15</v>
      </c>
    </row>
    <row r="6" customFormat="false" ht="15" hidden="false" customHeight="false" outlineLevel="0" collapsed="false">
      <c r="A6" s="4" t="n">
        <v>45261</v>
      </c>
      <c r="B6" s="7" t="n">
        <f aca="false">COUNTIFS(Facturacion!$A$4:$A$724,$A6,Facturacion!$C$4:$C$724,"S03")</f>
        <v>8</v>
      </c>
      <c r="C6" s="7" t="n">
        <f aca="false">COUNTIFS(Facturacion!$A$4:$A$724,$A6,Facturacion!$C$4:$C$724,"S04")</f>
        <v>4</v>
      </c>
      <c r="D6" s="7" t="n">
        <f aca="false">COUNTIFS(Facturacion!$A$4:$A$724,$A6,Facturacion!$C$4:$C$724,"S06")</f>
        <v>5</v>
      </c>
      <c r="E6" s="7" t="n">
        <f aca="false">COUNTIFS(Facturacion!$A$4:$A$724,$A6,Facturacion!$C$4:$C$724,"S05")+COUNTIFS(Facturacion!$A$4:$A$724,$A6,Facturacion!$C$4:$C$724,"S14")</f>
        <v>3</v>
      </c>
      <c r="F6" s="7" t="n">
        <f aca="false">COUNTIFS(Facturacion!$A$4:$A$724,$A6,Facturacion!$C$4:$C$724,"S13")</f>
        <v>0</v>
      </c>
      <c r="G6" s="17" t="n">
        <f aca="false">SUM(B6:F6)</f>
        <v>20</v>
      </c>
    </row>
    <row r="7" customFormat="false" ht="15" hidden="false" customHeight="false" outlineLevel="0" collapsed="false">
      <c r="A7" s="4" t="n">
        <v>45292</v>
      </c>
      <c r="B7" s="7" t="n">
        <f aca="false">COUNTIFS(Facturacion!$A$4:$A$724,$A7,Facturacion!$C$4:$C$724,"S03")</f>
        <v>8</v>
      </c>
      <c r="C7" s="7" t="n">
        <f aca="false">COUNTIFS(Facturacion!$A$4:$A$724,$A7,Facturacion!$C$4:$C$724,"S04")</f>
        <v>4</v>
      </c>
      <c r="D7" s="7" t="n">
        <f aca="false">COUNTIFS(Facturacion!$A$4:$A$724,$A7,Facturacion!$C$4:$C$724,"S06")</f>
        <v>0</v>
      </c>
      <c r="E7" s="7" t="n">
        <f aca="false">COUNTIFS(Facturacion!$A$4:$A$724,$A7,Facturacion!$C$4:$C$724,"S05")+COUNTIFS(Facturacion!$A$4:$A$724,$A7,Facturacion!$C$4:$C$724,"S14")</f>
        <v>6</v>
      </c>
      <c r="F7" s="7" t="n">
        <f aca="false">COUNTIFS(Facturacion!$A$4:$A$724,$A7,Facturacion!$C$4:$C$724,"S13")</f>
        <v>0</v>
      </c>
      <c r="G7" s="17" t="n">
        <f aca="false">SUM(B7:F7)</f>
        <v>18</v>
      </c>
    </row>
    <row r="8" customFormat="false" ht="15" hidden="false" customHeight="false" outlineLevel="0" collapsed="false">
      <c r="A8" s="4" t="n">
        <v>45323</v>
      </c>
      <c r="B8" s="7" t="n">
        <f aca="false">COUNTIFS(Facturacion!$A$4:$A$724,$A8,Facturacion!$C$4:$C$724,"S03")</f>
        <v>8</v>
      </c>
      <c r="C8" s="7" t="n">
        <f aca="false">COUNTIFS(Facturacion!$A$4:$A$724,$A8,Facturacion!$C$4:$C$724,"S04")</f>
        <v>4</v>
      </c>
      <c r="D8" s="7" t="n">
        <f aca="false">COUNTIFS(Facturacion!$A$4:$A$724,$A8,Facturacion!$C$4:$C$724,"S06")</f>
        <v>0</v>
      </c>
      <c r="E8" s="7" t="n">
        <f aca="false">COUNTIFS(Facturacion!$A$4:$A$724,$A8,Facturacion!$C$4:$C$724,"S05")+COUNTIFS(Facturacion!$A$4:$A$724,$A8,Facturacion!$C$4:$C$724,"S14")</f>
        <v>3</v>
      </c>
      <c r="F8" s="7" t="n">
        <f aca="false">COUNTIFS(Facturacion!$A$4:$A$724,$A8,Facturacion!$C$4:$C$724,"S13")</f>
        <v>8</v>
      </c>
      <c r="G8" s="17" t="n">
        <f aca="false">SUM(B8:F8)</f>
        <v>23</v>
      </c>
    </row>
    <row r="9" customFormat="false" ht="15" hidden="false" customHeight="false" outlineLevel="0" collapsed="false">
      <c r="A9" s="4" t="n">
        <v>45352</v>
      </c>
      <c r="B9" s="7" t="n">
        <f aca="false">COUNTIFS(Facturacion!$A$4:$A$724,$A9,Facturacion!$C$4:$C$724,"S03")</f>
        <v>8</v>
      </c>
      <c r="C9" s="7" t="n">
        <f aca="false">COUNTIFS(Facturacion!$A$4:$A$724,$A9,Facturacion!$C$4:$C$724,"S04")</f>
        <v>4</v>
      </c>
      <c r="D9" s="7" t="n">
        <f aca="false">COUNTIFS(Facturacion!$A$4:$A$724,$A9,Facturacion!$C$4:$C$724,"S06")</f>
        <v>6</v>
      </c>
      <c r="E9" s="7" t="n">
        <f aca="false">COUNTIFS(Facturacion!$A$4:$A$724,$A9,Facturacion!$C$4:$C$724,"S05")+COUNTIFS(Facturacion!$A$4:$A$724,$A9,Facturacion!$C$4:$C$724,"S14")</f>
        <v>3</v>
      </c>
      <c r="F9" s="7" t="n">
        <f aca="false">COUNTIFS(Facturacion!$A$4:$A$724,$A9,Facturacion!$C$4:$C$724,"S13")</f>
        <v>0</v>
      </c>
      <c r="G9" s="17" t="n">
        <f aca="false">SUM(B9:F9)</f>
        <v>21</v>
      </c>
    </row>
    <row r="10" customFormat="false" ht="15" hidden="false" customHeight="false" outlineLevel="0" collapsed="false">
      <c r="A10" s="4" t="n">
        <v>45383</v>
      </c>
      <c r="B10" s="7" t="n">
        <f aca="false">COUNTIFS(Facturacion!$A$4:$A$724,$A10,Facturacion!$C$4:$C$724,"S03")</f>
        <v>8</v>
      </c>
      <c r="C10" s="7" t="n">
        <f aca="false">COUNTIFS(Facturacion!$A$4:$A$724,$A10,Facturacion!$C$4:$C$724,"S04")</f>
        <v>4</v>
      </c>
      <c r="D10" s="7" t="n">
        <f aca="false">COUNTIFS(Facturacion!$A$4:$A$724,$A10,Facturacion!$C$4:$C$724,"S06")</f>
        <v>0</v>
      </c>
      <c r="E10" s="7" t="n">
        <f aca="false">COUNTIFS(Facturacion!$A$4:$A$724,$A10,Facturacion!$C$4:$C$724,"S05")+COUNTIFS(Facturacion!$A$4:$A$724,$A10,Facturacion!$C$4:$C$724,"S14")</f>
        <v>3</v>
      </c>
      <c r="F10" s="7" t="n">
        <f aca="false">COUNTIFS(Facturacion!$A$4:$A$724,$A10,Facturacion!$C$4:$C$724,"S13")</f>
        <v>0</v>
      </c>
      <c r="G10" s="17" t="n">
        <f aca="false">SUM(B10:F10)</f>
        <v>15</v>
      </c>
    </row>
    <row r="11" customFormat="false" ht="15" hidden="false" customHeight="false" outlineLevel="0" collapsed="false">
      <c r="A11" s="4" t="n">
        <v>45413</v>
      </c>
      <c r="B11" s="7" t="n">
        <f aca="false">COUNTIFS(Facturacion!$A$4:$A$724,$A11,Facturacion!$C$4:$C$724,"S03")</f>
        <v>8</v>
      </c>
      <c r="C11" s="7" t="n">
        <f aca="false">COUNTIFS(Facturacion!$A$4:$A$724,$A11,Facturacion!$C$4:$C$724,"S04")</f>
        <v>4</v>
      </c>
      <c r="D11" s="7" t="n">
        <f aca="false">COUNTIFS(Facturacion!$A$4:$A$724,$A11,Facturacion!$C$4:$C$724,"S06")</f>
        <v>0</v>
      </c>
      <c r="E11" s="7" t="n">
        <f aca="false">COUNTIFS(Facturacion!$A$4:$A$724,$A11,Facturacion!$C$4:$C$724,"S05")+COUNTIFS(Facturacion!$A$4:$A$724,$A11,Facturacion!$C$4:$C$724,"S14")</f>
        <v>3</v>
      </c>
      <c r="F11" s="7" t="n">
        <f aca="false">COUNTIFS(Facturacion!$A$4:$A$724,$A11,Facturacion!$C$4:$C$724,"S13")</f>
        <v>0</v>
      </c>
      <c r="G11" s="17" t="n">
        <f aca="false">SUM(B11:F11)</f>
        <v>15</v>
      </c>
    </row>
    <row r="12" customFormat="false" ht="15" hidden="false" customHeight="false" outlineLevel="0" collapsed="false">
      <c r="A12" s="4" t="n">
        <v>45444</v>
      </c>
      <c r="B12" s="7" t="n">
        <f aca="false">COUNTIFS(Facturacion!$A$4:$A$724,$A12,Facturacion!$C$4:$C$724,"S03")</f>
        <v>8</v>
      </c>
      <c r="C12" s="7" t="n">
        <f aca="false">COUNTIFS(Facturacion!$A$4:$A$724,$A12,Facturacion!$C$4:$C$724,"S04")</f>
        <v>4</v>
      </c>
      <c r="D12" s="7" t="n">
        <f aca="false">COUNTIFS(Facturacion!$A$4:$A$724,$A12,Facturacion!$C$4:$C$724,"S06")</f>
        <v>0</v>
      </c>
      <c r="E12" s="7" t="n">
        <f aca="false">COUNTIFS(Facturacion!$A$4:$A$724,$A12,Facturacion!$C$4:$C$724,"S05")+COUNTIFS(Facturacion!$A$4:$A$724,$A12,Facturacion!$C$4:$C$724,"S14")</f>
        <v>3</v>
      </c>
      <c r="F12" s="7" t="n">
        <f aca="false">COUNTIFS(Facturacion!$A$4:$A$724,$A12,Facturacion!$C$4:$C$724,"S13")</f>
        <v>0</v>
      </c>
      <c r="G12" s="17" t="n">
        <f aca="false">SUM(B12:F12)</f>
        <v>15</v>
      </c>
    </row>
    <row r="13" customFormat="false" ht="15" hidden="false" customHeight="false" outlineLevel="0" collapsed="false">
      <c r="A13" s="4" t="n">
        <v>45474</v>
      </c>
      <c r="B13" s="7" t="n">
        <f aca="false">COUNTIFS(Facturacion!$A$4:$A$724,$A13,Facturacion!$C$4:$C$724,"S03")</f>
        <v>8</v>
      </c>
      <c r="C13" s="7" t="n">
        <f aca="false">COUNTIFS(Facturacion!$A$4:$A$724,$A13,Facturacion!$C$4:$C$724,"S04")</f>
        <v>4</v>
      </c>
      <c r="D13" s="7" t="n">
        <f aca="false">COUNTIFS(Facturacion!$A$4:$A$724,$A13,Facturacion!$C$4:$C$724,"S06")</f>
        <v>0</v>
      </c>
      <c r="E13" s="7" t="n">
        <f aca="false">COUNTIFS(Facturacion!$A$4:$A$724,$A13,Facturacion!$C$4:$C$724,"S05")+COUNTIFS(Facturacion!$A$4:$A$724,$A13,Facturacion!$C$4:$C$724,"S14")</f>
        <v>3</v>
      </c>
      <c r="F13" s="7" t="n">
        <f aca="false">COUNTIFS(Facturacion!$A$4:$A$724,$A13,Facturacion!$C$4:$C$724,"S13")</f>
        <v>0</v>
      </c>
      <c r="G13" s="17" t="n">
        <f aca="false">SUM(B13:F13)</f>
        <v>15</v>
      </c>
    </row>
    <row r="14" customFormat="false" ht="15" hidden="false" customHeight="false" outlineLevel="0" collapsed="false">
      <c r="A14" s="4" t="n">
        <v>45505</v>
      </c>
      <c r="B14" s="7" t="n">
        <f aca="false">COUNTIFS(Facturacion!$A$4:$A$724,$A14,Facturacion!$C$4:$C$724,"S03")</f>
        <v>8</v>
      </c>
      <c r="C14" s="7" t="n">
        <f aca="false">COUNTIFS(Facturacion!$A$4:$A$724,$A14,Facturacion!$C$4:$C$724,"S04")</f>
        <v>4</v>
      </c>
      <c r="D14" s="7" t="n">
        <f aca="false">COUNTIFS(Facturacion!$A$4:$A$724,$A14,Facturacion!$C$4:$C$724,"S06")</f>
        <v>0</v>
      </c>
      <c r="E14" s="7" t="n">
        <f aca="false">COUNTIFS(Facturacion!$A$4:$A$724,$A14,Facturacion!$C$4:$C$724,"S05")+COUNTIFS(Facturacion!$A$4:$A$724,$A14,Facturacion!$C$4:$C$724,"S14")</f>
        <v>3</v>
      </c>
      <c r="F14" s="7" t="n">
        <f aca="false">COUNTIFS(Facturacion!$A$4:$A$724,$A14,Facturacion!$C$4:$C$724,"S13")</f>
        <v>0</v>
      </c>
      <c r="G14" s="17" t="n">
        <f aca="false">SUM(B14:F14)</f>
        <v>15</v>
      </c>
    </row>
    <row r="15" customFormat="false" ht="15" hidden="false" customHeight="false" outlineLevel="0" collapsed="false">
      <c r="A15" s="4" t="n">
        <v>45536</v>
      </c>
      <c r="B15" s="7" t="n">
        <f aca="false">COUNTIFS(Facturacion!$A$4:$A$724,$A15,Facturacion!$C$4:$C$724,"S03")</f>
        <v>8</v>
      </c>
      <c r="C15" s="7" t="n">
        <f aca="false">COUNTIFS(Facturacion!$A$4:$A$724,$A15,Facturacion!$C$4:$C$724,"S04")</f>
        <v>4</v>
      </c>
      <c r="D15" s="7" t="n">
        <f aca="false">COUNTIFS(Facturacion!$A$4:$A$724,$A15,Facturacion!$C$4:$C$724,"S06")</f>
        <v>0</v>
      </c>
      <c r="E15" s="7" t="n">
        <f aca="false">COUNTIFS(Facturacion!$A$4:$A$724,$A15,Facturacion!$C$4:$C$724,"S05")+COUNTIFS(Facturacion!$A$4:$A$724,$A15,Facturacion!$C$4:$C$724,"S14")</f>
        <v>3</v>
      </c>
      <c r="F15" s="7" t="n">
        <f aca="false">COUNTIFS(Facturacion!$A$4:$A$724,$A15,Facturacion!$C$4:$C$724,"S13")</f>
        <v>0</v>
      </c>
      <c r="G15" s="17" t="n">
        <f aca="false">SUM(B15:F15)</f>
        <v>15</v>
      </c>
    </row>
    <row r="16" customFormat="false" ht="15" hidden="false" customHeight="false" outlineLevel="0" collapsed="false">
      <c r="A16" s="4" t="n">
        <v>45566</v>
      </c>
      <c r="B16" s="7" t="n">
        <f aca="false">COUNTIFS(Facturacion!$A$4:$A$724,$A16,Facturacion!$C$4:$C$724,"S03")</f>
        <v>8</v>
      </c>
      <c r="C16" s="7" t="n">
        <f aca="false">COUNTIFS(Facturacion!$A$4:$A$724,$A16,Facturacion!$C$4:$C$724,"S04")</f>
        <v>4</v>
      </c>
      <c r="D16" s="7" t="n">
        <f aca="false">COUNTIFS(Facturacion!$A$4:$A$724,$A16,Facturacion!$C$4:$C$724,"S06")</f>
        <v>0</v>
      </c>
      <c r="E16" s="7" t="n">
        <f aca="false">COUNTIFS(Facturacion!$A$4:$A$724,$A16,Facturacion!$C$4:$C$724,"S05")+COUNTIFS(Facturacion!$A$4:$A$724,$A16,Facturacion!$C$4:$C$724,"S14")</f>
        <v>3</v>
      </c>
      <c r="F16" s="7" t="n">
        <f aca="false">COUNTIFS(Facturacion!$A$4:$A$724,$A16,Facturacion!$C$4:$C$724,"S13")</f>
        <v>0</v>
      </c>
      <c r="G16" s="17" t="n">
        <f aca="false">SUM(B16:F16)</f>
        <v>15</v>
      </c>
    </row>
    <row r="17" customFormat="false" ht="15" hidden="false" customHeight="false" outlineLevel="0" collapsed="false">
      <c r="A17" s="4" t="n">
        <v>45597</v>
      </c>
      <c r="B17" s="7" t="n">
        <f aca="false">COUNTIFS(Facturacion!$A$4:$A$724,$A17,Facturacion!$C$4:$C$724,"S03")</f>
        <v>8</v>
      </c>
      <c r="C17" s="7" t="n">
        <f aca="false">COUNTIFS(Facturacion!$A$4:$A$724,$A17,Facturacion!$C$4:$C$724,"S04")</f>
        <v>4</v>
      </c>
      <c r="D17" s="7" t="n">
        <f aca="false">COUNTIFS(Facturacion!$A$4:$A$724,$A17,Facturacion!$C$4:$C$724,"S06")</f>
        <v>0</v>
      </c>
      <c r="E17" s="7" t="n">
        <f aca="false">COUNTIFS(Facturacion!$A$4:$A$724,$A17,Facturacion!$C$4:$C$724,"S05")+COUNTIFS(Facturacion!$A$4:$A$724,$A17,Facturacion!$C$4:$C$724,"S14")</f>
        <v>3</v>
      </c>
      <c r="F17" s="7" t="n">
        <f aca="false">COUNTIFS(Facturacion!$A$4:$A$724,$A17,Facturacion!$C$4:$C$724,"S13")</f>
        <v>0</v>
      </c>
      <c r="G17" s="17" t="n">
        <f aca="false">SUM(B17:F17)</f>
        <v>15</v>
      </c>
    </row>
    <row r="18" customFormat="false" ht="15" hidden="false" customHeight="false" outlineLevel="0" collapsed="false">
      <c r="A18" s="4" t="n">
        <v>45627</v>
      </c>
      <c r="B18" s="7" t="n">
        <f aca="false">COUNTIFS(Facturacion!$A$4:$A$724,$A18,Facturacion!$C$4:$C$724,"S03")</f>
        <v>8</v>
      </c>
      <c r="C18" s="7" t="n">
        <f aca="false">COUNTIFS(Facturacion!$A$4:$A$724,$A18,Facturacion!$C$4:$C$724,"S04")</f>
        <v>4</v>
      </c>
      <c r="D18" s="7" t="n">
        <f aca="false">COUNTIFS(Facturacion!$A$4:$A$724,$A18,Facturacion!$C$4:$C$724,"S06")</f>
        <v>5</v>
      </c>
      <c r="E18" s="7" t="n">
        <f aca="false">COUNTIFS(Facturacion!$A$4:$A$724,$A18,Facturacion!$C$4:$C$724,"S05")+COUNTIFS(Facturacion!$A$4:$A$724,$A18,Facturacion!$C$4:$C$724,"S14")</f>
        <v>3</v>
      </c>
      <c r="F18" s="7" t="n">
        <f aca="false">COUNTIFS(Facturacion!$A$4:$A$724,$A18,Facturacion!$C$4:$C$724,"S13")</f>
        <v>0</v>
      </c>
      <c r="G18" s="17" t="n">
        <f aca="false">SUM(B18:F18)</f>
        <v>20</v>
      </c>
    </row>
    <row r="19" customFormat="false" ht="15" hidden="false" customHeight="false" outlineLevel="0" collapsed="false">
      <c r="A19" s="4" t="n">
        <v>45658</v>
      </c>
      <c r="B19" s="7" t="n">
        <f aca="false">COUNTIFS(Facturacion!$A$4:$A$724,$A19,Facturacion!$C$4:$C$724,"S03")</f>
        <v>8</v>
      </c>
      <c r="C19" s="7" t="n">
        <f aca="false">COUNTIFS(Facturacion!$A$4:$A$724,$A19,Facturacion!$C$4:$C$724,"S04")</f>
        <v>4</v>
      </c>
      <c r="D19" s="7" t="n">
        <f aca="false">COUNTIFS(Facturacion!$A$4:$A$724,$A19,Facturacion!$C$4:$C$724,"S06")</f>
        <v>0</v>
      </c>
      <c r="E19" s="7" t="n">
        <f aca="false">COUNTIFS(Facturacion!$A$4:$A$724,$A19,Facturacion!$C$4:$C$724,"S05")+COUNTIFS(Facturacion!$A$4:$A$724,$A19,Facturacion!$C$4:$C$724,"S14")</f>
        <v>6</v>
      </c>
      <c r="F19" s="7" t="n">
        <f aca="false">COUNTIFS(Facturacion!$A$4:$A$724,$A19,Facturacion!$C$4:$C$724,"S13")</f>
        <v>0</v>
      </c>
      <c r="G19" s="17" t="n">
        <f aca="false">SUM(B19:F19)</f>
        <v>18</v>
      </c>
    </row>
    <row r="20" customFormat="false" ht="15" hidden="false" customHeight="false" outlineLevel="0" collapsed="false">
      <c r="A20" s="4" t="n">
        <v>45689</v>
      </c>
      <c r="B20" s="7" t="n">
        <f aca="false">COUNTIFS(Facturacion!$A$4:$A$724,$A20,Facturacion!$C$4:$C$724,"S03")</f>
        <v>8</v>
      </c>
      <c r="C20" s="7" t="n">
        <f aca="false">COUNTIFS(Facturacion!$A$4:$A$724,$A20,Facturacion!$C$4:$C$724,"S04")</f>
        <v>4</v>
      </c>
      <c r="D20" s="7" t="n">
        <f aca="false">COUNTIFS(Facturacion!$A$4:$A$724,$A20,Facturacion!$C$4:$C$724,"S06")</f>
        <v>0</v>
      </c>
      <c r="E20" s="7" t="n">
        <f aca="false">COUNTIFS(Facturacion!$A$4:$A$724,$A20,Facturacion!$C$4:$C$724,"S05")+COUNTIFS(Facturacion!$A$4:$A$724,$A20,Facturacion!$C$4:$C$724,"S14")</f>
        <v>3</v>
      </c>
      <c r="F20" s="7" t="n">
        <f aca="false">COUNTIFS(Facturacion!$A$4:$A$724,$A20,Facturacion!$C$4:$C$724,"S13")</f>
        <v>8</v>
      </c>
      <c r="G20" s="17" t="n">
        <f aca="false">SUM(B20:F20)</f>
        <v>23</v>
      </c>
    </row>
    <row r="21" customFormat="false" ht="15" hidden="false" customHeight="false" outlineLevel="0" collapsed="false">
      <c r="A21" s="4" t="n">
        <v>45717</v>
      </c>
      <c r="B21" s="7" t="n">
        <f aca="false">COUNTIFS(Facturacion!$A$4:$A$724,$A21,Facturacion!$C$4:$C$724,"S03")</f>
        <v>8</v>
      </c>
      <c r="C21" s="7" t="n">
        <f aca="false">COUNTIFS(Facturacion!$A$4:$A$724,$A21,Facturacion!$C$4:$C$724,"S04")</f>
        <v>4</v>
      </c>
      <c r="D21" s="7" t="n">
        <f aca="false">COUNTIFS(Facturacion!$A$4:$A$724,$A21,Facturacion!$C$4:$C$724,"S06")</f>
        <v>7</v>
      </c>
      <c r="E21" s="7" t="n">
        <f aca="false">COUNTIFS(Facturacion!$A$4:$A$724,$A21,Facturacion!$C$4:$C$724,"S05")+COUNTIFS(Facturacion!$A$4:$A$724,$A21,Facturacion!$C$4:$C$724,"S14")</f>
        <v>3</v>
      </c>
      <c r="F21" s="7" t="n">
        <f aca="false">COUNTIFS(Facturacion!$A$4:$A$724,$A21,Facturacion!$C$4:$C$724,"S13")</f>
        <v>0</v>
      </c>
      <c r="G21" s="17" t="n">
        <f aca="false">SUM(B21:F21)</f>
        <v>22</v>
      </c>
    </row>
    <row r="22" customFormat="false" ht="15" hidden="false" customHeight="false" outlineLevel="0" collapsed="false">
      <c r="A22" s="4" t="n">
        <v>45748</v>
      </c>
      <c r="B22" s="7" t="n">
        <f aca="false">COUNTIFS(Facturacion!$A$4:$A$724,$A22,Facturacion!$C$4:$C$724,"S03")</f>
        <v>8</v>
      </c>
      <c r="C22" s="7" t="n">
        <f aca="false">COUNTIFS(Facturacion!$A$4:$A$724,$A22,Facturacion!$C$4:$C$724,"S04")</f>
        <v>4</v>
      </c>
      <c r="D22" s="7" t="n">
        <f aca="false">COUNTIFS(Facturacion!$A$4:$A$724,$A22,Facturacion!$C$4:$C$724,"S06")</f>
        <v>0</v>
      </c>
      <c r="E22" s="7" t="n">
        <f aca="false">COUNTIFS(Facturacion!$A$4:$A$724,$A22,Facturacion!$C$4:$C$724,"S05")+COUNTIFS(Facturacion!$A$4:$A$724,$A22,Facturacion!$C$4:$C$724,"S14")</f>
        <v>3</v>
      </c>
      <c r="F22" s="7" t="n">
        <f aca="false">COUNTIFS(Facturacion!$A$4:$A$724,$A22,Facturacion!$C$4:$C$724,"S13")</f>
        <v>0</v>
      </c>
      <c r="G22" s="17" t="n">
        <f aca="false">SUM(B22:F22)</f>
        <v>15</v>
      </c>
    </row>
    <row r="23" customFormat="false" ht="15" hidden="false" customHeight="false" outlineLevel="0" collapsed="false">
      <c r="A23" s="4" t="n">
        <v>45778</v>
      </c>
      <c r="B23" s="7" t="n">
        <f aca="false">COUNTIFS(Facturacion!$A$4:$A$724,$A23,Facturacion!$C$4:$C$724,"S03")</f>
        <v>8</v>
      </c>
      <c r="C23" s="7" t="n">
        <f aca="false">COUNTIFS(Facturacion!$A$4:$A$724,$A23,Facturacion!$C$4:$C$724,"S04")</f>
        <v>4</v>
      </c>
      <c r="D23" s="7" t="n">
        <f aca="false">COUNTIFS(Facturacion!$A$4:$A$724,$A23,Facturacion!$C$4:$C$724,"S06")</f>
        <v>0</v>
      </c>
      <c r="E23" s="7" t="n">
        <f aca="false">COUNTIFS(Facturacion!$A$4:$A$724,$A23,Facturacion!$C$4:$C$724,"S05")+COUNTIFS(Facturacion!$A$4:$A$724,$A23,Facturacion!$C$4:$C$724,"S14")</f>
        <v>3</v>
      </c>
      <c r="F23" s="7" t="n">
        <f aca="false">COUNTIFS(Facturacion!$A$4:$A$724,$A23,Facturacion!$C$4:$C$724,"S13")</f>
        <v>0</v>
      </c>
      <c r="G23" s="17" t="n">
        <f aca="false">SUM(B23:F23)</f>
        <v>15</v>
      </c>
    </row>
    <row r="24" customFormat="false" ht="15" hidden="false" customHeight="false" outlineLevel="0" collapsed="false">
      <c r="A24" s="4" t="n">
        <v>45809</v>
      </c>
      <c r="B24" s="7" t="n">
        <f aca="false">COUNTIFS(Facturacion!$A$4:$A$724,$A24,Facturacion!$C$4:$C$724,"S03")</f>
        <v>8</v>
      </c>
      <c r="C24" s="7" t="n">
        <f aca="false">COUNTIFS(Facturacion!$A$4:$A$724,$A24,Facturacion!$C$4:$C$724,"S04")</f>
        <v>4</v>
      </c>
      <c r="D24" s="7" t="n">
        <f aca="false">COUNTIFS(Facturacion!$A$4:$A$724,$A24,Facturacion!$C$4:$C$724,"S06")</f>
        <v>0</v>
      </c>
      <c r="E24" s="7" t="n">
        <f aca="false">COUNTIFS(Facturacion!$A$4:$A$724,$A24,Facturacion!$C$4:$C$724,"S05")+COUNTIFS(Facturacion!$A$4:$A$724,$A24,Facturacion!$C$4:$C$724,"S14")</f>
        <v>3</v>
      </c>
      <c r="F24" s="7" t="n">
        <f aca="false">COUNTIFS(Facturacion!$A$4:$A$724,$A24,Facturacion!$C$4:$C$724,"S13")</f>
        <v>0</v>
      </c>
      <c r="G24" s="17" t="n">
        <f aca="false">SUM(B24:F24)</f>
        <v>15</v>
      </c>
    </row>
    <row r="25" customFormat="false" ht="15" hidden="false" customHeight="false" outlineLevel="0" collapsed="false">
      <c r="A25" s="4" t="n">
        <v>45839</v>
      </c>
      <c r="B25" s="7" t="n">
        <f aca="false">COUNTIFS(Facturacion!$A$4:$A$724,$A25,Facturacion!$C$4:$C$724,"S03")</f>
        <v>8</v>
      </c>
      <c r="C25" s="7" t="n">
        <f aca="false">COUNTIFS(Facturacion!$A$4:$A$724,$A25,Facturacion!$C$4:$C$724,"S04")</f>
        <v>4</v>
      </c>
      <c r="D25" s="7" t="n">
        <f aca="false">COUNTIFS(Facturacion!$A$4:$A$724,$A25,Facturacion!$C$4:$C$724,"S06")</f>
        <v>0</v>
      </c>
      <c r="E25" s="7" t="n">
        <f aca="false">COUNTIFS(Facturacion!$A$4:$A$724,$A25,Facturacion!$C$4:$C$724,"S05")+COUNTIFS(Facturacion!$A$4:$A$724,$A25,Facturacion!$C$4:$C$724,"S14")</f>
        <v>3</v>
      </c>
      <c r="F25" s="7" t="n">
        <f aca="false">COUNTIFS(Facturacion!$A$4:$A$724,$A25,Facturacion!$C$4:$C$724,"S13")</f>
        <v>0</v>
      </c>
      <c r="G25" s="17" t="n">
        <f aca="false">SUM(B25:F25)</f>
        <v>15</v>
      </c>
    </row>
    <row r="26" customFormat="false" ht="15" hidden="false" customHeight="false" outlineLevel="0" collapsed="false">
      <c r="A26" s="4" t="n">
        <v>45870</v>
      </c>
      <c r="B26" s="7" t="n">
        <f aca="false">COUNTIFS(Facturacion!$A$4:$A$724,$A26,Facturacion!$C$4:$C$724,"S03")</f>
        <v>8</v>
      </c>
      <c r="C26" s="7" t="n">
        <f aca="false">COUNTIFS(Facturacion!$A$4:$A$724,$A26,Facturacion!$C$4:$C$724,"S04")</f>
        <v>4</v>
      </c>
      <c r="D26" s="7" t="n">
        <f aca="false">COUNTIFS(Facturacion!$A$4:$A$724,$A26,Facturacion!$C$4:$C$724,"S06")</f>
        <v>0</v>
      </c>
      <c r="E26" s="7" t="n">
        <f aca="false">COUNTIFS(Facturacion!$A$4:$A$724,$A26,Facturacion!$C$4:$C$724,"S05")+COUNTIFS(Facturacion!$A$4:$A$724,$A26,Facturacion!$C$4:$C$724,"S14")</f>
        <v>3</v>
      </c>
      <c r="F26" s="7" t="n">
        <f aca="false">COUNTIFS(Facturacion!$A$4:$A$724,$A26,Facturacion!$C$4:$C$724,"S13")</f>
        <v>0</v>
      </c>
      <c r="G26" s="17" t="n">
        <f aca="false">SUM(B26:F26)</f>
        <v>15</v>
      </c>
    </row>
    <row r="27" customFormat="false" ht="15" hidden="false" customHeight="false" outlineLevel="0" collapsed="false">
      <c r="A27" s="4" t="n">
        <v>45901</v>
      </c>
      <c r="B27" s="7" t="n">
        <f aca="false">COUNTIFS(Facturacion!$A$4:$A$724,$A27,Facturacion!$C$4:$C$724,"S03")</f>
        <v>8</v>
      </c>
      <c r="C27" s="7" t="n">
        <f aca="false">COUNTIFS(Facturacion!$A$4:$A$724,$A27,Facturacion!$C$4:$C$724,"S04")</f>
        <v>4</v>
      </c>
      <c r="D27" s="7" t="n">
        <f aca="false">COUNTIFS(Facturacion!$A$4:$A$724,$A27,Facturacion!$C$4:$C$724,"S06")</f>
        <v>0</v>
      </c>
      <c r="E27" s="7" t="n">
        <f aca="false">COUNTIFS(Facturacion!$A$4:$A$724,$A27,Facturacion!$C$4:$C$724,"S05")+COUNTIFS(Facturacion!$A$4:$A$724,$A27,Facturacion!$C$4:$C$724,"S14")</f>
        <v>3</v>
      </c>
      <c r="F27" s="7" t="n">
        <f aca="false">COUNTIFS(Facturacion!$A$4:$A$724,$A27,Facturacion!$C$4:$C$724,"S13")</f>
        <v>0</v>
      </c>
      <c r="G27" s="17" t="n">
        <f aca="false">SUM(B27:F27)</f>
        <v>15</v>
      </c>
    </row>
    <row r="28" customFormat="false" ht="15" hidden="false" customHeight="false" outlineLevel="0" collapsed="false">
      <c r="A28" s="4" t="n">
        <v>45931</v>
      </c>
      <c r="B28" s="7" t="n">
        <f aca="false">COUNTIFS(Facturacion!$A$4:$A$724,$A28,Facturacion!$C$4:$C$724,"S03")</f>
        <v>8</v>
      </c>
      <c r="C28" s="7" t="n">
        <f aca="false">COUNTIFS(Facturacion!$A$4:$A$724,$A28,Facturacion!$C$4:$C$724,"S04")</f>
        <v>4</v>
      </c>
      <c r="D28" s="7" t="n">
        <f aca="false">COUNTIFS(Facturacion!$A$4:$A$724,$A28,Facturacion!$C$4:$C$724,"S06")</f>
        <v>0</v>
      </c>
      <c r="E28" s="7" t="n">
        <f aca="false">COUNTIFS(Facturacion!$A$4:$A$724,$A28,Facturacion!$C$4:$C$724,"S05")+COUNTIFS(Facturacion!$A$4:$A$724,$A28,Facturacion!$C$4:$C$724,"S14")</f>
        <v>3</v>
      </c>
      <c r="F28" s="7" t="n">
        <f aca="false">COUNTIFS(Facturacion!$A$4:$A$724,$A28,Facturacion!$C$4:$C$724,"S13")</f>
        <v>0</v>
      </c>
      <c r="G28" s="17" t="n">
        <f aca="false">SUM(B28:F28)</f>
        <v>15</v>
      </c>
    </row>
    <row r="29" customFormat="false" ht="15" hidden="false" customHeight="false" outlineLevel="0" collapsed="false">
      <c r="A29" s="4" t="n">
        <v>45962</v>
      </c>
      <c r="B29" s="7" t="n">
        <f aca="false">COUNTIFS(Facturacion!$A$4:$A$724,$A29,Facturacion!$C$4:$C$724,"S03")</f>
        <v>8</v>
      </c>
      <c r="C29" s="7" t="n">
        <f aca="false">COUNTIFS(Facturacion!$A$4:$A$724,$A29,Facturacion!$C$4:$C$724,"S04")</f>
        <v>4</v>
      </c>
      <c r="D29" s="7" t="n">
        <f aca="false">COUNTIFS(Facturacion!$A$4:$A$724,$A29,Facturacion!$C$4:$C$724,"S06")</f>
        <v>0</v>
      </c>
      <c r="E29" s="7" t="n">
        <f aca="false">COUNTIFS(Facturacion!$A$4:$A$724,$A29,Facturacion!$C$4:$C$724,"S05")+COUNTIFS(Facturacion!$A$4:$A$724,$A29,Facturacion!$C$4:$C$724,"S14")</f>
        <v>3</v>
      </c>
      <c r="F29" s="7" t="n">
        <f aca="false">COUNTIFS(Facturacion!$A$4:$A$724,$A29,Facturacion!$C$4:$C$724,"S13")</f>
        <v>0</v>
      </c>
      <c r="G29" s="17" t="n">
        <f aca="false">SUM(B29:F29)</f>
        <v>15</v>
      </c>
    </row>
    <row r="30" customFormat="false" ht="15" hidden="false" customHeight="false" outlineLevel="0" collapsed="false">
      <c r="A30" s="4" t="n">
        <v>45992</v>
      </c>
      <c r="B30" s="7" t="n">
        <f aca="false">COUNTIFS(Facturacion!$A$4:$A$724,$A30,Facturacion!$C$4:$C$724,"S03")</f>
        <v>8</v>
      </c>
      <c r="C30" s="7" t="n">
        <f aca="false">COUNTIFS(Facturacion!$A$4:$A$724,$A30,Facturacion!$C$4:$C$724,"S04")</f>
        <v>4</v>
      </c>
      <c r="D30" s="7" t="n">
        <f aca="false">COUNTIFS(Facturacion!$A$4:$A$724,$A30,Facturacion!$C$4:$C$724,"S06")</f>
        <v>5</v>
      </c>
      <c r="E30" s="7" t="n">
        <f aca="false">COUNTIFS(Facturacion!$A$4:$A$724,$A30,Facturacion!$C$4:$C$724,"S05")+COUNTIFS(Facturacion!$A$4:$A$724,$A30,Facturacion!$C$4:$C$724,"S14")</f>
        <v>3</v>
      </c>
      <c r="F30" s="7" t="n">
        <f aca="false">COUNTIFS(Facturacion!$A$4:$A$724,$A30,Facturacion!$C$4:$C$724,"S13")</f>
        <v>0</v>
      </c>
      <c r="G30" s="17" t="n">
        <f aca="false">SUM(B30:F30)</f>
        <v>20</v>
      </c>
    </row>
    <row r="31" customFormat="false" ht="15" hidden="false" customHeight="false" outlineLevel="0" collapsed="false">
      <c r="A31" s="4" t="n">
        <v>46023</v>
      </c>
      <c r="B31" s="7" t="n">
        <f aca="false">COUNTIFS(Facturacion!$A$4:$A$724,$A31,Facturacion!$C$4:$C$724,"S03")</f>
        <v>8</v>
      </c>
      <c r="C31" s="7" t="n">
        <f aca="false">COUNTIFS(Facturacion!$A$4:$A$724,$A31,Facturacion!$C$4:$C$724,"S04")</f>
        <v>4</v>
      </c>
      <c r="D31" s="7" t="n">
        <f aca="false">COUNTIFS(Facturacion!$A$4:$A$724,$A31,Facturacion!$C$4:$C$724,"S06")</f>
        <v>0</v>
      </c>
      <c r="E31" s="7" t="n">
        <f aca="false">COUNTIFS(Facturacion!$A$4:$A$724,$A31,Facturacion!$C$4:$C$724,"S05")+COUNTIFS(Facturacion!$A$4:$A$724,$A31,Facturacion!$C$4:$C$724,"S14")</f>
        <v>6</v>
      </c>
      <c r="F31" s="7" t="n">
        <f aca="false">COUNTIFS(Facturacion!$A$4:$A$724,$A31,Facturacion!$C$4:$C$724,"S13")</f>
        <v>0</v>
      </c>
      <c r="G31" s="17" t="n">
        <f aca="false">SUM(B31:F31)</f>
        <v>18</v>
      </c>
    </row>
    <row r="32" customFormat="false" ht="15" hidden="false" customHeight="false" outlineLevel="0" collapsed="false">
      <c r="A32" s="4" t="n">
        <v>46054</v>
      </c>
      <c r="B32" s="7" t="n">
        <f aca="false">COUNTIFS(Facturacion!$A$4:$A$724,$A32,Facturacion!$C$4:$C$724,"S03")</f>
        <v>8</v>
      </c>
      <c r="C32" s="7" t="n">
        <f aca="false">COUNTIFS(Facturacion!$A$4:$A$724,$A32,Facturacion!$C$4:$C$724,"S04")</f>
        <v>4</v>
      </c>
      <c r="D32" s="7" t="n">
        <f aca="false">COUNTIFS(Facturacion!$A$4:$A$724,$A32,Facturacion!$C$4:$C$724,"S06")</f>
        <v>0</v>
      </c>
      <c r="E32" s="7" t="n">
        <f aca="false">COUNTIFS(Facturacion!$A$4:$A$724,$A32,Facturacion!$C$4:$C$724,"S05")+COUNTIFS(Facturacion!$A$4:$A$724,$A32,Facturacion!$C$4:$C$724,"S14")</f>
        <v>3</v>
      </c>
      <c r="F32" s="7" t="n">
        <f aca="false">COUNTIFS(Facturacion!$A$4:$A$724,$A32,Facturacion!$C$4:$C$724,"S13")</f>
        <v>8</v>
      </c>
      <c r="G32" s="17" t="n">
        <f aca="false">SUM(B32:F32)</f>
        <v>23</v>
      </c>
    </row>
    <row r="33" customFormat="false" ht="15" hidden="false" customHeight="false" outlineLevel="0" collapsed="false">
      <c r="A33" s="4" t="n">
        <v>46082</v>
      </c>
      <c r="B33" s="7" t="n">
        <f aca="false">COUNTIFS(Facturacion!$A$4:$A$724,$A33,Facturacion!$C$4:$C$724,"S03")</f>
        <v>8</v>
      </c>
      <c r="C33" s="7" t="n">
        <f aca="false">COUNTIFS(Facturacion!$A$4:$A$724,$A33,Facturacion!$C$4:$C$724,"S04")</f>
        <v>4</v>
      </c>
      <c r="D33" s="7" t="n">
        <f aca="false">COUNTIFS(Facturacion!$A$4:$A$724,$A33,Facturacion!$C$4:$C$724,"S06")</f>
        <v>7</v>
      </c>
      <c r="E33" s="7" t="n">
        <f aca="false">COUNTIFS(Facturacion!$A$4:$A$724,$A33,Facturacion!$C$4:$C$724,"S05")+COUNTIFS(Facturacion!$A$4:$A$724,$A33,Facturacion!$C$4:$C$724,"S14")</f>
        <v>3</v>
      </c>
      <c r="F33" s="7" t="n">
        <f aca="false">COUNTIFS(Facturacion!$A$4:$A$724,$A33,Facturacion!$C$4:$C$724,"S13")</f>
        <v>0</v>
      </c>
      <c r="G33" s="17" t="n">
        <f aca="false">SUM(B33:F33)</f>
        <v>22</v>
      </c>
    </row>
    <row r="34" customFormat="false" ht="15" hidden="false" customHeight="false" outlineLevel="0" collapsed="false">
      <c r="A34" s="4" t="n">
        <v>46113</v>
      </c>
      <c r="B34" s="7" t="n">
        <f aca="false">COUNTIFS(Facturacion!$A$4:$A$724,$A34,Facturacion!$C$4:$C$724,"S03")</f>
        <v>8</v>
      </c>
      <c r="C34" s="7" t="n">
        <f aca="false">COUNTIFS(Facturacion!$A$4:$A$724,$A34,Facturacion!$C$4:$C$724,"S04")</f>
        <v>4</v>
      </c>
      <c r="D34" s="7" t="n">
        <f aca="false">COUNTIFS(Facturacion!$A$4:$A$724,$A34,Facturacion!$C$4:$C$724,"S06")</f>
        <v>0</v>
      </c>
      <c r="E34" s="7" t="n">
        <f aca="false">COUNTIFS(Facturacion!$A$4:$A$724,$A34,Facturacion!$C$4:$C$724,"S05")+COUNTIFS(Facturacion!$A$4:$A$724,$A34,Facturacion!$C$4:$C$724,"S14")</f>
        <v>3</v>
      </c>
      <c r="F34" s="7" t="n">
        <f aca="false">COUNTIFS(Facturacion!$A$4:$A$724,$A34,Facturacion!$C$4:$C$724,"S13")</f>
        <v>0</v>
      </c>
      <c r="G34" s="17" t="n">
        <f aca="false">SUM(B34:F34)</f>
        <v>15</v>
      </c>
    </row>
    <row r="35" customFormat="false" ht="15" hidden="false" customHeight="false" outlineLevel="0" collapsed="false">
      <c r="A35" s="4" t="n">
        <v>46143</v>
      </c>
      <c r="B35" s="7" t="n">
        <f aca="false">COUNTIFS(Facturacion!$A$4:$A$724,$A35,Facturacion!$C$4:$C$724,"S03")</f>
        <v>8</v>
      </c>
      <c r="C35" s="7" t="n">
        <f aca="false">COUNTIFS(Facturacion!$A$4:$A$724,$A35,Facturacion!$C$4:$C$724,"S04")</f>
        <v>4</v>
      </c>
      <c r="D35" s="7" t="n">
        <f aca="false">COUNTIFS(Facturacion!$A$4:$A$724,$A35,Facturacion!$C$4:$C$724,"S06")</f>
        <v>0</v>
      </c>
      <c r="E35" s="7" t="n">
        <f aca="false">COUNTIFS(Facturacion!$A$4:$A$724,$A35,Facturacion!$C$4:$C$724,"S05")+COUNTIFS(Facturacion!$A$4:$A$724,$A35,Facturacion!$C$4:$C$724,"S14")</f>
        <v>3</v>
      </c>
      <c r="F35" s="7" t="n">
        <f aca="false">COUNTIFS(Facturacion!$A$4:$A$724,$A35,Facturacion!$C$4:$C$724,"S13")</f>
        <v>0</v>
      </c>
      <c r="G35" s="17" t="n">
        <f aca="false">SUM(B35:F35)</f>
        <v>15</v>
      </c>
    </row>
    <row r="36" customFormat="false" ht="15" hidden="false" customHeight="false" outlineLevel="0" collapsed="false">
      <c r="A36" s="4" t="n">
        <v>46174</v>
      </c>
      <c r="B36" s="7" t="n">
        <f aca="false">COUNTIFS(Facturacion!$A$4:$A$724,$A36,Facturacion!$C$4:$C$724,"S03")</f>
        <v>8</v>
      </c>
      <c r="C36" s="7" t="n">
        <f aca="false">COUNTIFS(Facturacion!$A$4:$A$724,$A36,Facturacion!$C$4:$C$724,"S04")</f>
        <v>4</v>
      </c>
      <c r="D36" s="7" t="n">
        <f aca="false">COUNTIFS(Facturacion!$A$4:$A$724,$A36,Facturacion!$C$4:$C$724,"S06")</f>
        <v>0</v>
      </c>
      <c r="E36" s="7" t="n">
        <f aca="false">COUNTIFS(Facturacion!$A$4:$A$724,$A36,Facturacion!$C$4:$C$724,"S05")+COUNTIFS(Facturacion!$A$4:$A$724,$A36,Facturacion!$C$4:$C$724,"S14")</f>
        <v>3</v>
      </c>
      <c r="F36" s="7" t="n">
        <f aca="false">COUNTIFS(Facturacion!$A$4:$A$724,$A36,Facturacion!$C$4:$C$724,"S13")</f>
        <v>0</v>
      </c>
      <c r="G36" s="17" t="n">
        <f aca="false">SUM(B36:F36)</f>
        <v>15</v>
      </c>
    </row>
    <row r="37" customFormat="false" ht="15" hidden="false" customHeight="false" outlineLevel="0" collapsed="false">
      <c r="A37" s="4" t="n">
        <v>46204</v>
      </c>
      <c r="B37" s="7" t="n">
        <f aca="false">COUNTIFS(Facturacion!$A$4:$A$724,$A37,Facturacion!$C$4:$C$724,"S03")</f>
        <v>8</v>
      </c>
      <c r="C37" s="7" t="n">
        <f aca="false">COUNTIFS(Facturacion!$A$4:$A$724,$A37,Facturacion!$C$4:$C$724,"S04")</f>
        <v>4</v>
      </c>
      <c r="D37" s="7" t="n">
        <f aca="false">COUNTIFS(Facturacion!$A$4:$A$724,$A37,Facturacion!$C$4:$C$724,"S06")</f>
        <v>0</v>
      </c>
      <c r="E37" s="7" t="n">
        <f aca="false">COUNTIFS(Facturacion!$A$4:$A$724,$A37,Facturacion!$C$4:$C$724,"S05")+COUNTIFS(Facturacion!$A$4:$A$724,$A37,Facturacion!$C$4:$C$724,"S14")</f>
        <v>3</v>
      </c>
      <c r="F37" s="7" t="n">
        <f aca="false">COUNTIFS(Facturacion!$A$4:$A$724,$A37,Facturacion!$C$4:$C$724,"S13")</f>
        <v>0</v>
      </c>
      <c r="G37" s="17" t="n">
        <f aca="false">SUM(B37:F37)</f>
        <v>15</v>
      </c>
    </row>
    <row r="38" customFormat="false" ht="15" hidden="false" customHeight="false" outlineLevel="0" collapsed="false">
      <c r="A38" s="4" t="n">
        <v>46235</v>
      </c>
      <c r="B38" s="7" t="n">
        <f aca="false">COUNTIFS(Facturacion!$A$4:$A$724,$A38,Facturacion!$C$4:$C$724,"S03")</f>
        <v>8</v>
      </c>
      <c r="C38" s="7" t="n">
        <f aca="false">COUNTIFS(Facturacion!$A$4:$A$724,$A38,Facturacion!$C$4:$C$724,"S04")</f>
        <v>4</v>
      </c>
      <c r="D38" s="7" t="n">
        <f aca="false">COUNTIFS(Facturacion!$A$4:$A$724,$A38,Facturacion!$C$4:$C$724,"S06")</f>
        <v>0</v>
      </c>
      <c r="E38" s="7" t="n">
        <f aca="false">COUNTIFS(Facturacion!$A$4:$A$724,$A38,Facturacion!$C$4:$C$724,"S05")+COUNTIFS(Facturacion!$A$4:$A$724,$A38,Facturacion!$C$4:$C$724,"S14")</f>
        <v>3</v>
      </c>
      <c r="F38" s="7" t="n">
        <f aca="false">COUNTIFS(Facturacion!$A$4:$A$724,$A38,Facturacion!$C$4:$C$724,"S13")</f>
        <v>0</v>
      </c>
      <c r="G38" s="17" t="n">
        <f aca="false">SUM(B38:F38)</f>
        <v>15</v>
      </c>
    </row>
    <row r="39" customFormat="false" ht="15" hidden="false" customHeight="false" outlineLevel="0" collapsed="false">
      <c r="A39" s="4" t="n">
        <v>46266</v>
      </c>
      <c r="B39" s="7" t="n">
        <f aca="false">COUNTIFS(Facturacion!$A$4:$A$724,$A39,Facturacion!$C$4:$C$724,"S03")</f>
        <v>8</v>
      </c>
      <c r="C39" s="7" t="n">
        <f aca="false">COUNTIFS(Facturacion!$A$4:$A$724,$A39,Facturacion!$C$4:$C$724,"S04")</f>
        <v>4</v>
      </c>
      <c r="D39" s="7" t="n">
        <f aca="false">COUNTIFS(Facturacion!$A$4:$A$724,$A39,Facturacion!$C$4:$C$724,"S06")</f>
        <v>0</v>
      </c>
      <c r="E39" s="7" t="n">
        <f aca="false">COUNTIFS(Facturacion!$A$4:$A$724,$A39,Facturacion!$C$4:$C$724,"S05")+COUNTIFS(Facturacion!$A$4:$A$724,$A39,Facturacion!$C$4:$C$724,"S14")</f>
        <v>3</v>
      </c>
      <c r="F39" s="7" t="n">
        <f aca="false">COUNTIFS(Facturacion!$A$4:$A$724,$A39,Facturacion!$C$4:$C$724,"S13")</f>
        <v>0</v>
      </c>
      <c r="G39" s="17" t="n">
        <f aca="false">SUM(B39:F39)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46"/>
    <col collapsed="false" customWidth="true" hidden="false" outlineLevel="0" max="4" min="4" style="0" width="48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7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8"/>
    <col collapsed="false" customWidth="true" hidden="false" outlineLevel="0" max="12" min="12" style="0" width="18"/>
  </cols>
  <sheetData>
    <row r="1" customFormat="false" ht="16.15" hidden="false" customHeight="false" outlineLevel="0" collapsed="false">
      <c r="A1" s="1" t="s">
        <v>83</v>
      </c>
    </row>
    <row r="2" customFormat="false" ht="15" hidden="false" customHeight="false" outlineLevel="0" collapsed="false">
      <c r="A2" s="13" t="s">
        <v>84</v>
      </c>
    </row>
    <row r="3" customFormat="false" ht="45" hidden="false" customHeight="true" outlineLevel="0" collapsed="false">
      <c r="A3" s="2" t="s">
        <v>28</v>
      </c>
      <c r="B3" s="2" t="s">
        <v>85</v>
      </c>
      <c r="C3" s="2" t="s">
        <v>59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28.35" hidden="false" customHeight="false" outlineLevel="0" collapsed="false">
      <c r="A4" s="18" t="s">
        <v>95</v>
      </c>
      <c r="B4" s="18" t="s">
        <v>96</v>
      </c>
      <c r="C4" s="18" t="s">
        <v>97</v>
      </c>
      <c r="D4" s="18" t="s">
        <v>98</v>
      </c>
      <c r="E4" s="18" t="s">
        <v>99</v>
      </c>
      <c r="F4" s="18" t="n">
        <v>80</v>
      </c>
      <c r="G4" s="18" t="n">
        <v>80</v>
      </c>
      <c r="H4" s="19" t="n">
        <f aca="false">G4*Parametros!$B$4</f>
        <v>2294480</v>
      </c>
      <c r="I4" s="19" t="n">
        <f aca="false">H4*(1+Parametros!$B$5)</f>
        <v>2592762.4</v>
      </c>
      <c r="J4" s="18" t="s">
        <v>100</v>
      </c>
      <c r="K4" s="18" t="s">
        <v>101</v>
      </c>
      <c r="L4" s="19" t="n">
        <f aca="false">SUMIFS(Facturacion!$I$4:$I$724,Facturacion!$C$4:$C$724,A4)</f>
        <v>0</v>
      </c>
    </row>
    <row r="5" customFormat="false" ht="28.35" hidden="false" customHeight="false" outlineLevel="0" collapsed="false">
      <c r="A5" s="18" t="s">
        <v>102</v>
      </c>
      <c r="B5" s="18" t="s">
        <v>96</v>
      </c>
      <c r="C5" s="18" t="s">
        <v>103</v>
      </c>
      <c r="D5" s="18" t="s">
        <v>104</v>
      </c>
      <c r="E5" s="18" t="s">
        <v>99</v>
      </c>
      <c r="F5" s="18" t="n">
        <v>100</v>
      </c>
      <c r="G5" s="18" t="n">
        <v>100</v>
      </c>
      <c r="H5" s="19" t="n">
        <f aca="false">G5*Parametros!$B$4</f>
        <v>2868100</v>
      </c>
      <c r="I5" s="19" t="n">
        <f aca="false">H5*(1+Parametros!$B$5)</f>
        <v>3240953</v>
      </c>
      <c r="J5" s="18" t="s">
        <v>100</v>
      </c>
      <c r="K5" s="18" t="s">
        <v>101</v>
      </c>
      <c r="L5" s="19" t="n">
        <f aca="false">SUMIFS(Facturacion!$I$4:$I$724,Facturacion!$C$4:$C$724,A5)</f>
        <v>0</v>
      </c>
    </row>
    <row r="6" customFormat="false" ht="15" hidden="false" customHeight="false" outlineLevel="0" collapsed="false">
      <c r="A6" s="20" t="s">
        <v>68</v>
      </c>
      <c r="B6" s="20" t="s">
        <v>105</v>
      </c>
      <c r="C6" s="20" t="s">
        <v>106</v>
      </c>
      <c r="D6" s="20" t="s">
        <v>107</v>
      </c>
      <c r="E6" s="20" t="s">
        <v>108</v>
      </c>
      <c r="F6" s="20" t="s">
        <v>109</v>
      </c>
      <c r="G6" s="20" t="n">
        <v>1</v>
      </c>
      <c r="H6" s="21" t="n">
        <f aca="false">G6*Parametros!$B$4</f>
        <v>28681</v>
      </c>
      <c r="I6" s="21" t="n">
        <f aca="false">H6*(1+Parametros!$B$5)</f>
        <v>32409.53</v>
      </c>
      <c r="J6" s="20" t="s">
        <v>110</v>
      </c>
      <c r="K6" s="20" t="s">
        <v>111</v>
      </c>
      <c r="L6" s="21" t="n">
        <f aca="false">SUMIFS(Facturacion!$I$4:$I$724,Facturacion!$C$4:$C$724,A6)</f>
        <v>902019</v>
      </c>
    </row>
    <row r="7" customFormat="false" ht="28.35" hidden="false" customHeight="false" outlineLevel="0" collapsed="false">
      <c r="A7" s="20" t="s">
        <v>64</v>
      </c>
      <c r="B7" s="20" t="s">
        <v>105</v>
      </c>
      <c r="C7" s="20" t="s">
        <v>112</v>
      </c>
      <c r="D7" s="20" t="s">
        <v>113</v>
      </c>
      <c r="E7" s="20" t="s">
        <v>114</v>
      </c>
      <c r="F7" s="20" t="s">
        <v>109</v>
      </c>
      <c r="G7" s="20" t="n">
        <v>3</v>
      </c>
      <c r="H7" s="21" t="n">
        <f aca="false">G7*Parametros!$B$4</f>
        <v>86043</v>
      </c>
      <c r="I7" s="21" t="n">
        <f aca="false">H7*(1+Parametros!$B$5)</f>
        <v>97228.59</v>
      </c>
      <c r="J7" s="20" t="s">
        <v>110</v>
      </c>
      <c r="K7" s="20" t="s">
        <v>115</v>
      </c>
      <c r="L7" s="21" t="n">
        <f aca="false">SUMIFS(Facturacion!$I$4:$I$724,Facturacion!$C$4:$C$724,A7)</f>
        <v>6424544</v>
      </c>
    </row>
    <row r="8" customFormat="false" ht="15" hidden="false" customHeight="false" outlineLevel="0" collapsed="false">
      <c r="A8" s="20" t="s">
        <v>65</v>
      </c>
      <c r="B8" s="20" t="s">
        <v>105</v>
      </c>
      <c r="C8" s="20" t="s">
        <v>116</v>
      </c>
      <c r="D8" s="20" t="s">
        <v>117</v>
      </c>
      <c r="E8" s="20" t="s">
        <v>114</v>
      </c>
      <c r="F8" s="20" t="s">
        <v>109</v>
      </c>
      <c r="G8" s="20" t="n">
        <v>0.75</v>
      </c>
      <c r="H8" s="21" t="n">
        <f aca="false">G8*Parametros!$B$4</f>
        <v>21510.75</v>
      </c>
      <c r="I8" s="21" t="n">
        <f aca="false">H8*(1+Parametros!$B$5)</f>
        <v>24307.1475</v>
      </c>
      <c r="J8" s="20" t="s">
        <v>110</v>
      </c>
      <c r="K8" s="20" t="s">
        <v>118</v>
      </c>
      <c r="L8" s="21" t="n">
        <f aca="false">SUMIFS(Facturacion!$I$4:$I$724,Facturacion!$C$4:$C$724,A8)</f>
        <v>6547932</v>
      </c>
    </row>
    <row r="9" customFormat="false" ht="15" hidden="false" customHeight="false" outlineLevel="0" collapsed="false">
      <c r="A9" s="20" t="s">
        <v>66</v>
      </c>
      <c r="B9" s="20" t="s">
        <v>105</v>
      </c>
      <c r="C9" s="20" t="s">
        <v>119</v>
      </c>
      <c r="D9" s="20" t="s">
        <v>117</v>
      </c>
      <c r="E9" s="20" t="s">
        <v>114</v>
      </c>
      <c r="F9" s="20" t="s">
        <v>109</v>
      </c>
      <c r="G9" s="20" t="n">
        <v>0.25</v>
      </c>
      <c r="H9" s="21" t="n">
        <f aca="false">G9*Parametros!$B$4</f>
        <v>7170.25</v>
      </c>
      <c r="I9" s="21" t="n">
        <f aca="false">H9*(1+Parametros!$B$5)</f>
        <v>8102.3825</v>
      </c>
      <c r="J9" s="20" t="s">
        <v>110</v>
      </c>
      <c r="K9" s="20" t="s">
        <v>120</v>
      </c>
      <c r="L9" s="21" t="n">
        <f aca="false">SUMIFS(Facturacion!$I$4:$I$724,Facturacion!$C$4:$C$724,A9)</f>
        <v>1032480</v>
      </c>
    </row>
    <row r="10" customFormat="false" ht="28.35" hidden="false" customHeight="false" outlineLevel="0" collapsed="false">
      <c r="A10" s="20" t="s">
        <v>67</v>
      </c>
      <c r="B10" s="20" t="s">
        <v>105</v>
      </c>
      <c r="C10" s="20" t="s">
        <v>121</v>
      </c>
      <c r="D10" s="20" t="s">
        <v>122</v>
      </c>
      <c r="E10" s="20" t="s">
        <v>114</v>
      </c>
      <c r="F10" s="20" t="s">
        <v>109</v>
      </c>
      <c r="G10" s="20" t="n">
        <v>3</v>
      </c>
      <c r="H10" s="21" t="n">
        <f aca="false">G10*Parametros!$B$4</f>
        <v>86043</v>
      </c>
      <c r="I10" s="21" t="n">
        <f aca="false">H10*(1+Parametros!$B$5)</f>
        <v>97228.59</v>
      </c>
      <c r="J10" s="20" t="s">
        <v>110</v>
      </c>
      <c r="K10" s="20" t="s">
        <v>123</v>
      </c>
      <c r="L10" s="21" t="n">
        <f aca="false">SUMIFS(Facturacion!$I$4:$I$724,Facturacion!$C$4:$C$724,A10)</f>
        <v>36611327</v>
      </c>
    </row>
    <row r="11" customFormat="false" ht="15" hidden="false" customHeight="false" outlineLevel="0" collapsed="false">
      <c r="A11" s="20" t="s">
        <v>69</v>
      </c>
      <c r="B11" s="20" t="s">
        <v>105</v>
      </c>
      <c r="C11" s="20" t="s">
        <v>124</v>
      </c>
      <c r="D11" s="20" t="s">
        <v>117</v>
      </c>
      <c r="E11" s="20" t="s">
        <v>99</v>
      </c>
      <c r="F11" s="20" t="s">
        <v>109</v>
      </c>
      <c r="G11" s="20" t="n">
        <v>1.5</v>
      </c>
      <c r="H11" s="21" t="n">
        <f aca="false">G11*Parametros!$B$4</f>
        <v>43021.5</v>
      </c>
      <c r="I11" s="21" t="n">
        <f aca="false">H11*(1+Parametros!$B$5)</f>
        <v>48614.295</v>
      </c>
      <c r="J11" s="20" t="s">
        <v>110</v>
      </c>
      <c r="K11" s="20" t="s">
        <v>118</v>
      </c>
      <c r="L11" s="21" t="n">
        <f aca="false">SUMIFS(Facturacion!$I$4:$I$724,Facturacion!$C$4:$C$724,A11)</f>
        <v>1629453</v>
      </c>
    </row>
    <row r="12" customFormat="false" ht="15" hidden="false" customHeight="false" outlineLevel="0" collapsed="false">
      <c r="A12" s="20" t="s">
        <v>70</v>
      </c>
      <c r="B12" s="20" t="s">
        <v>105</v>
      </c>
      <c r="C12" s="20" t="s">
        <v>125</v>
      </c>
      <c r="D12" s="20" t="s">
        <v>126</v>
      </c>
      <c r="E12" s="20" t="s">
        <v>99</v>
      </c>
      <c r="F12" s="20" t="s">
        <v>109</v>
      </c>
      <c r="G12" s="20" t="n">
        <v>6</v>
      </c>
      <c r="H12" s="21" t="n">
        <f aca="false">G12*Parametros!$B$4</f>
        <v>172086</v>
      </c>
      <c r="I12" s="21" t="n">
        <f aca="false">H12*(1+Parametros!$B$5)</f>
        <v>194457.18</v>
      </c>
      <c r="J12" s="20" t="s">
        <v>110</v>
      </c>
      <c r="K12" s="20" t="s">
        <v>127</v>
      </c>
      <c r="L12" s="21" t="n">
        <f aca="false">SUMIFS(Facturacion!$I$4:$I$724,Facturacion!$C$4:$C$724,A12)</f>
        <v>1548774</v>
      </c>
    </row>
    <row r="13" customFormat="false" ht="15" hidden="false" customHeight="false" outlineLevel="0" collapsed="false">
      <c r="A13" s="20" t="s">
        <v>72</v>
      </c>
      <c r="B13" s="20" t="s">
        <v>105</v>
      </c>
      <c r="C13" s="20" t="s">
        <v>128</v>
      </c>
      <c r="D13" s="20" t="s">
        <v>117</v>
      </c>
      <c r="E13" s="20" t="s">
        <v>99</v>
      </c>
      <c r="F13" s="20" t="s">
        <v>109</v>
      </c>
      <c r="G13" s="20" t="n">
        <v>0.5</v>
      </c>
      <c r="H13" s="21" t="n">
        <f aca="false">G13*Parametros!$B$4</f>
        <v>14340.5</v>
      </c>
      <c r="I13" s="21" t="n">
        <f aca="false">H13*(1+Parametros!$B$5)</f>
        <v>16204.765</v>
      </c>
      <c r="J13" s="20" t="s">
        <v>110</v>
      </c>
      <c r="K13" s="20" t="s">
        <v>118</v>
      </c>
      <c r="L13" s="21" t="n">
        <f aca="false">SUMIFS(Facturacion!$I$4:$I$724,Facturacion!$C$4:$C$724,A13)</f>
        <v>348486</v>
      </c>
    </row>
    <row r="14" customFormat="false" ht="15" hidden="false" customHeight="false" outlineLevel="0" collapsed="false">
      <c r="A14" s="20" t="s">
        <v>71</v>
      </c>
      <c r="B14" s="20" t="s">
        <v>105</v>
      </c>
      <c r="C14" s="20" t="s">
        <v>129</v>
      </c>
      <c r="D14" s="20" t="s">
        <v>117</v>
      </c>
      <c r="E14" s="20" t="s">
        <v>99</v>
      </c>
      <c r="F14" s="20" t="s">
        <v>109</v>
      </c>
      <c r="G14" s="20" t="n">
        <v>2</v>
      </c>
      <c r="H14" s="21" t="n">
        <f aca="false">G14*Parametros!$B$4</f>
        <v>57362</v>
      </c>
      <c r="I14" s="21" t="n">
        <f aca="false">H14*(1+Parametros!$B$5)</f>
        <v>64819.06</v>
      </c>
      <c r="J14" s="20" t="s">
        <v>110</v>
      </c>
      <c r="K14" s="20" t="s">
        <v>118</v>
      </c>
      <c r="L14" s="21" t="n">
        <f aca="false">SUMIFS(Facturacion!$I$4:$I$724,Facturacion!$C$4:$C$724,A14)</f>
        <v>516258</v>
      </c>
    </row>
    <row r="15" customFormat="false" ht="15" hidden="false" customHeight="false" outlineLevel="0" collapsed="false">
      <c r="A15" s="18" t="s">
        <v>130</v>
      </c>
      <c r="B15" s="18" t="s">
        <v>131</v>
      </c>
      <c r="C15" s="18" t="s">
        <v>132</v>
      </c>
      <c r="D15" s="18" t="s">
        <v>133</v>
      </c>
      <c r="E15" s="18" t="s">
        <v>108</v>
      </c>
      <c r="F15" s="18" t="n">
        <v>18</v>
      </c>
      <c r="G15" s="18" t="n">
        <v>18</v>
      </c>
      <c r="H15" s="19" t="n">
        <f aca="false">G15*Parametros!$B$4</f>
        <v>516258</v>
      </c>
      <c r="I15" s="19" t="n">
        <f aca="false">H15*(1+Parametros!$B$5)</f>
        <v>583371.54</v>
      </c>
      <c r="J15" s="18" t="s">
        <v>100</v>
      </c>
      <c r="K15" s="18" t="s">
        <v>101</v>
      </c>
      <c r="L15" s="19" t="n">
        <f aca="false">SUMIFS(Facturacion!$I$4:$I$724,Facturacion!$C$4:$C$724,A15)</f>
        <v>0</v>
      </c>
    </row>
    <row r="16" customFormat="false" ht="15" hidden="false" customHeight="false" outlineLevel="0" collapsed="false">
      <c r="A16" s="20" t="s">
        <v>74</v>
      </c>
      <c r="B16" s="20" t="s">
        <v>134</v>
      </c>
      <c r="C16" s="20" t="s">
        <v>135</v>
      </c>
      <c r="D16" s="20" t="s">
        <v>136</v>
      </c>
      <c r="E16" s="20" t="s">
        <v>108</v>
      </c>
      <c r="F16" s="20" t="n">
        <v>3</v>
      </c>
      <c r="G16" s="20" t="n">
        <v>3</v>
      </c>
      <c r="H16" s="21" t="n">
        <f aca="false">G16*Parametros!$B$4</f>
        <v>86043</v>
      </c>
      <c r="I16" s="21" t="n">
        <f aca="false">H16*(1+Parametros!$B$5)</f>
        <v>97228.59</v>
      </c>
      <c r="J16" s="20" t="s">
        <v>110</v>
      </c>
      <c r="K16" s="20" t="s">
        <v>101</v>
      </c>
      <c r="L16" s="21" t="n">
        <f aca="false">SUMIFS(Facturacion!$I$4:$I$724,Facturacion!$C$4:$C$724,A16)</f>
        <v>451725</v>
      </c>
    </row>
    <row r="17" customFormat="false" ht="28.35" hidden="false" customHeight="false" outlineLevel="0" collapsed="false">
      <c r="A17" s="20" t="s">
        <v>75</v>
      </c>
      <c r="B17" s="20" t="s">
        <v>137</v>
      </c>
      <c r="C17" s="20" t="s">
        <v>138</v>
      </c>
      <c r="D17" s="20" t="s">
        <v>139</v>
      </c>
      <c r="E17" s="20" t="s">
        <v>108</v>
      </c>
      <c r="F17" s="20" t="n">
        <v>3</v>
      </c>
      <c r="G17" s="20" t="n">
        <v>3</v>
      </c>
      <c r="H17" s="21" t="n">
        <f aca="false">G17*Parametros!$B$4</f>
        <v>86043</v>
      </c>
      <c r="I17" s="21" t="n">
        <f aca="false">H17*(1+Parametros!$B$5)</f>
        <v>97228.59</v>
      </c>
      <c r="J17" s="20" t="s">
        <v>110</v>
      </c>
      <c r="K17" s="20" t="s">
        <v>140</v>
      </c>
      <c r="L17" s="21" t="n">
        <f aca="false">SUMIFS(Facturacion!$I$4:$I$724,Facturacion!$C$4:$C$724,A17)</f>
        <v>189294</v>
      </c>
    </row>
    <row r="18" customFormat="false" ht="15" hidden="false" customHeight="false" outlineLevel="0" collapsed="false">
      <c r="A18" s="18" t="s">
        <v>141</v>
      </c>
      <c r="B18" s="18" t="s">
        <v>142</v>
      </c>
      <c r="C18" s="18" t="s">
        <v>143</v>
      </c>
      <c r="D18" s="18" t="s">
        <v>144</v>
      </c>
      <c r="E18" s="18" t="s">
        <v>108</v>
      </c>
      <c r="F18" s="18" t="n">
        <v>3</v>
      </c>
      <c r="G18" s="18" t="n">
        <v>3</v>
      </c>
      <c r="H18" s="19" t="n">
        <f aca="false">G18*Parametros!$B$4</f>
        <v>86043</v>
      </c>
      <c r="I18" s="19" t="n">
        <f aca="false">H18*(1+Parametros!$B$5)</f>
        <v>97228.59</v>
      </c>
      <c r="J18" s="18" t="s">
        <v>100</v>
      </c>
      <c r="K18" s="18" t="s">
        <v>101</v>
      </c>
      <c r="L18" s="19" t="n">
        <f aca="false">SUMIFS(Facturacion!$I$4:$I$724,Facturacion!$C$4:$C$724,A18)</f>
        <v>0</v>
      </c>
    </row>
    <row r="19" customFormat="false" ht="28.35" hidden="false" customHeight="false" outlineLevel="0" collapsed="false">
      <c r="A19" s="18" t="s">
        <v>145</v>
      </c>
      <c r="B19" s="18" t="s">
        <v>146</v>
      </c>
      <c r="C19" s="18" t="s">
        <v>147</v>
      </c>
      <c r="D19" s="18" t="s">
        <v>148</v>
      </c>
      <c r="E19" s="18" t="s">
        <v>108</v>
      </c>
      <c r="F19" s="18" t="n">
        <v>0.5</v>
      </c>
      <c r="G19" s="18" t="n">
        <v>0.5</v>
      </c>
      <c r="H19" s="19" t="n">
        <f aca="false">G19*Parametros!$B$4</f>
        <v>14340.5</v>
      </c>
      <c r="I19" s="19" t="n">
        <f aca="false">H19*(1+Parametros!$B$5)</f>
        <v>16204.765</v>
      </c>
      <c r="J19" s="18" t="s">
        <v>100</v>
      </c>
      <c r="K19" s="18" t="s">
        <v>149</v>
      </c>
      <c r="L19" s="19" t="n">
        <f aca="false">SUMIFS(Facturacion!$I$4:$I$724,Facturacion!$C$4:$C$724,A19)</f>
        <v>0</v>
      </c>
    </row>
    <row r="20" customFormat="false" ht="15" hidden="false" customHeight="false" outlineLevel="0" collapsed="false">
      <c r="A20" s="20" t="s">
        <v>150</v>
      </c>
      <c r="B20" s="20" t="s">
        <v>151</v>
      </c>
      <c r="C20" s="20" t="s">
        <v>152</v>
      </c>
      <c r="D20" s="20" t="s">
        <v>153</v>
      </c>
      <c r="E20" s="20" t="s">
        <v>108</v>
      </c>
      <c r="F20" s="20" t="n">
        <v>10</v>
      </c>
      <c r="G20" s="20" t="n">
        <v>10</v>
      </c>
      <c r="H20" s="21" t="n">
        <f aca="false">G20*Parametros!$B$4</f>
        <v>286810</v>
      </c>
      <c r="I20" s="21" t="n">
        <f aca="false">H20*(1+Parametros!$B$5)</f>
        <v>324095.3</v>
      </c>
      <c r="J20" s="20" t="s">
        <v>110</v>
      </c>
      <c r="K20" s="20" t="s">
        <v>140</v>
      </c>
      <c r="L20" s="21" t="n">
        <f aca="false">SUMIFS(Facturacion!$I$4:$I$724,Facturacion!$C$4:$C$724,A20)</f>
        <v>0</v>
      </c>
    </row>
    <row r="21" customFormat="false" ht="28.35" hidden="false" customHeight="false" outlineLevel="0" collapsed="false">
      <c r="A21" s="20" t="s">
        <v>154</v>
      </c>
      <c r="B21" s="20" t="s">
        <v>155</v>
      </c>
      <c r="C21" s="20" t="s">
        <v>156</v>
      </c>
      <c r="D21" s="20" t="s">
        <v>157</v>
      </c>
      <c r="E21" s="20" t="s">
        <v>108</v>
      </c>
      <c r="F21" s="20" t="n">
        <v>5</v>
      </c>
      <c r="G21" s="20" t="n">
        <v>5</v>
      </c>
      <c r="H21" s="21" t="n">
        <f aca="false">G21*Parametros!$B$4</f>
        <v>143405</v>
      </c>
      <c r="I21" s="21" t="n">
        <f aca="false">H21*(1+Parametros!$B$5)</f>
        <v>162047.65</v>
      </c>
      <c r="J21" s="20" t="s">
        <v>110</v>
      </c>
      <c r="K21" s="20" t="s">
        <v>101</v>
      </c>
      <c r="L21" s="21" t="n">
        <f aca="false">SUMIFS(Facturacion!$I$4:$I$724,Facturacion!$C$4:$C$724,A21)</f>
        <v>0</v>
      </c>
    </row>
    <row r="22" customFormat="false" ht="28.35" hidden="false" customHeight="false" outlineLevel="0" collapsed="false">
      <c r="A22" s="20" t="s">
        <v>158</v>
      </c>
      <c r="B22" s="20" t="s">
        <v>159</v>
      </c>
      <c r="C22" s="20" t="s">
        <v>160</v>
      </c>
      <c r="D22" s="20" t="s">
        <v>157</v>
      </c>
      <c r="E22" s="20" t="s">
        <v>108</v>
      </c>
      <c r="F22" s="20" t="n">
        <v>5</v>
      </c>
      <c r="G22" s="20" t="n">
        <v>5</v>
      </c>
      <c r="H22" s="21" t="n">
        <f aca="false">G22*Parametros!$B$4</f>
        <v>143405</v>
      </c>
      <c r="I22" s="21" t="n">
        <f aca="false">H22*(1+Parametros!$B$5)</f>
        <v>162047.65</v>
      </c>
      <c r="J22" s="20" t="s">
        <v>110</v>
      </c>
      <c r="K22" s="20" t="s">
        <v>101</v>
      </c>
      <c r="L22" s="21" t="n">
        <f aca="false">SUMIFS(Facturacion!$I$4:$I$724,Facturacion!$C$4:$C$724,A22)</f>
        <v>0</v>
      </c>
    </row>
    <row r="23" customFormat="false" ht="15" hidden="false" customHeight="false" outlineLevel="0" collapsed="false">
      <c r="A23" s="20" t="s">
        <v>76</v>
      </c>
      <c r="B23" s="20" t="s">
        <v>161</v>
      </c>
      <c r="C23" s="20" t="s">
        <v>162</v>
      </c>
      <c r="D23" s="20" t="s">
        <v>157</v>
      </c>
      <c r="E23" s="20" t="s">
        <v>108</v>
      </c>
      <c r="F23" s="20" t="n">
        <v>5</v>
      </c>
      <c r="G23" s="20" t="n">
        <v>5</v>
      </c>
      <c r="H23" s="21" t="n">
        <f aca="false">G23*Parametros!$B$4</f>
        <v>143405</v>
      </c>
      <c r="I23" s="21" t="n">
        <f aca="false">H23*(1+Parametros!$B$5)</f>
        <v>162047.65</v>
      </c>
      <c r="J23" s="20" t="s">
        <v>110</v>
      </c>
      <c r="K23" s="20" t="s">
        <v>101</v>
      </c>
      <c r="L23" s="21" t="n">
        <f aca="false">SUMIFS(Facturacion!$I$4:$I$724,Facturacion!$C$4:$C$724,A23)</f>
        <v>150575</v>
      </c>
    </row>
    <row r="24" customFormat="false" ht="15" hidden="false" customHeight="false" outlineLevel="0" collapsed="false">
      <c r="A24" s="20" t="s">
        <v>73</v>
      </c>
      <c r="B24" s="20" t="s">
        <v>163</v>
      </c>
      <c r="C24" s="20" t="s">
        <v>164</v>
      </c>
      <c r="D24" s="20" t="s">
        <v>136</v>
      </c>
      <c r="E24" s="20" t="s">
        <v>108</v>
      </c>
      <c r="F24" s="20" t="n">
        <v>3</v>
      </c>
      <c r="G24" s="20" t="n">
        <v>3</v>
      </c>
      <c r="H24" s="21" t="n">
        <f aca="false">G24*Parametros!$B$4</f>
        <v>86043</v>
      </c>
      <c r="I24" s="21" t="n">
        <f aca="false">H24*(1+Parametros!$B$5)</f>
        <v>97228.59</v>
      </c>
      <c r="J24" s="20" t="s">
        <v>110</v>
      </c>
      <c r="K24" s="20" t="s">
        <v>101</v>
      </c>
      <c r="L24" s="21" t="n">
        <f aca="false">SUMIFS(Facturacion!$I$4:$I$724,Facturacion!$C$4:$C$724,A24)</f>
        <v>184992</v>
      </c>
    </row>
    <row r="26" customFormat="false" ht="15" hidden="false" customHeight="false" outlineLevel="0" collapsed="false">
      <c r="A26" s="22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95"/>
  </cols>
  <sheetData>
    <row r="1" customFormat="false" ht="16.15" hidden="false" customHeight="false" outlineLevel="0" collapsed="false">
      <c r="A1" s="1" t="s">
        <v>166</v>
      </c>
    </row>
    <row r="3" customFormat="false" ht="15" hidden="false" customHeight="false" outlineLevel="0" collapsed="false">
      <c r="A3" s="2" t="s">
        <v>167</v>
      </c>
      <c r="B3" s="2" t="s">
        <v>168</v>
      </c>
      <c r="C3" s="2" t="s">
        <v>169</v>
      </c>
    </row>
    <row r="4" customFormat="false" ht="28.35" hidden="false" customHeight="false" outlineLevel="0" collapsed="false">
      <c r="A4" s="20" t="s">
        <v>170</v>
      </c>
      <c r="B4" s="23" t="n">
        <v>28681</v>
      </c>
      <c r="C4" s="20" t="s">
        <v>171</v>
      </c>
    </row>
    <row r="5" customFormat="false" ht="15" hidden="false" customHeight="false" outlineLevel="0" collapsed="false">
      <c r="A5" s="20" t="s">
        <v>172</v>
      </c>
      <c r="B5" s="24" t="n">
        <v>0.13</v>
      </c>
      <c r="C5" s="20" t="s">
        <v>173</v>
      </c>
    </row>
    <row r="6" customFormat="false" ht="15" hidden="false" customHeight="false" outlineLevel="0" collapsed="false">
      <c r="A6" s="20" t="s">
        <v>174</v>
      </c>
      <c r="B6" s="25" t="n">
        <v>22695.71</v>
      </c>
      <c r="C6" s="20" t="s">
        <v>175</v>
      </c>
    </row>
    <row r="7" customFormat="false" ht="15" hidden="false" customHeight="false" outlineLevel="0" collapsed="false">
      <c r="A7" s="20" t="s">
        <v>176</v>
      </c>
      <c r="B7" s="20" t="s">
        <v>177</v>
      </c>
      <c r="C7" s="20" t="s">
        <v>178</v>
      </c>
    </row>
    <row r="9" customFormat="false" ht="15" hidden="false" customHeight="false" outlineLevel="0" collapsed="false">
      <c r="A9" s="22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34"/>
    <col collapsed="false" customWidth="true" hidden="false" outlineLevel="0" max="4" min="4" style="0" width="58"/>
    <col collapsed="false" customWidth="true" hidden="false" outlineLevel="0" max="6" min="5" style="0" width="16"/>
  </cols>
  <sheetData>
    <row r="1" customFormat="false" ht="16.15" hidden="false" customHeight="false" outlineLevel="0" collapsed="false">
      <c r="A1" s="1" t="s">
        <v>180</v>
      </c>
    </row>
    <row r="3" customFormat="false" ht="31.5" hidden="false" customHeight="true" outlineLevel="0" collapsed="false">
      <c r="A3" s="2" t="s">
        <v>181</v>
      </c>
      <c r="B3" s="2" t="s">
        <v>58</v>
      </c>
      <c r="C3" s="2" t="s">
        <v>182</v>
      </c>
      <c r="D3" s="2" t="s">
        <v>183</v>
      </c>
      <c r="E3" s="2" t="s">
        <v>184</v>
      </c>
      <c r="F3" s="2" t="s">
        <v>185</v>
      </c>
    </row>
    <row r="4" customFormat="false" ht="15" hidden="false" customHeight="false" outlineLevel="0" collapsed="false">
      <c r="A4" s="7" t="s">
        <v>29</v>
      </c>
      <c r="B4" s="7" t="s">
        <v>41</v>
      </c>
      <c r="C4" s="7" t="s">
        <v>186</v>
      </c>
      <c r="D4" s="7" t="s">
        <v>187</v>
      </c>
      <c r="E4" s="8" t="n">
        <v>1</v>
      </c>
      <c r="F4" s="4" t="n">
        <v>45200</v>
      </c>
    </row>
    <row r="5" customFormat="false" ht="15" hidden="false" customHeight="false" outlineLevel="0" collapsed="false">
      <c r="A5" s="7" t="s">
        <v>30</v>
      </c>
      <c r="B5" s="7" t="s">
        <v>42</v>
      </c>
      <c r="C5" s="7" t="s">
        <v>186</v>
      </c>
      <c r="D5" s="7" t="s">
        <v>188</v>
      </c>
      <c r="E5" s="8" t="n">
        <v>1</v>
      </c>
      <c r="F5" s="4" t="n">
        <v>45200</v>
      </c>
    </row>
    <row r="6" customFormat="false" ht="15" hidden="false" customHeight="false" outlineLevel="0" collapsed="false">
      <c r="A6" s="7" t="s">
        <v>31</v>
      </c>
      <c r="B6" s="7" t="s">
        <v>43</v>
      </c>
      <c r="C6" s="7" t="s">
        <v>189</v>
      </c>
      <c r="D6" s="7" t="s">
        <v>190</v>
      </c>
      <c r="E6" s="8" t="n">
        <v>1.1</v>
      </c>
      <c r="F6" s="4" t="n">
        <v>45200</v>
      </c>
    </row>
    <row r="7" customFormat="false" ht="15" hidden="false" customHeight="false" outlineLevel="0" collapsed="false">
      <c r="A7" s="7" t="s">
        <v>32</v>
      </c>
      <c r="B7" s="7" t="s">
        <v>44</v>
      </c>
      <c r="C7" s="7" t="s">
        <v>189</v>
      </c>
      <c r="D7" s="7" t="s">
        <v>190</v>
      </c>
      <c r="E7" s="8" t="n">
        <v>1</v>
      </c>
      <c r="F7" s="4" t="n">
        <v>45200</v>
      </c>
    </row>
    <row r="8" customFormat="false" ht="15" hidden="false" customHeight="false" outlineLevel="0" collapsed="false">
      <c r="A8" s="7" t="s">
        <v>33</v>
      </c>
      <c r="B8" s="7" t="s">
        <v>45</v>
      </c>
      <c r="C8" s="7" t="s">
        <v>186</v>
      </c>
      <c r="D8" s="7" t="s">
        <v>191</v>
      </c>
      <c r="E8" s="8" t="n">
        <v>1</v>
      </c>
      <c r="F8" s="4" t="n">
        <v>45200</v>
      </c>
    </row>
    <row r="9" customFormat="false" ht="15" hidden="false" customHeight="false" outlineLevel="0" collapsed="false">
      <c r="A9" s="7" t="s">
        <v>34</v>
      </c>
      <c r="B9" s="7" t="s">
        <v>46</v>
      </c>
      <c r="C9" s="7" t="s">
        <v>189</v>
      </c>
      <c r="D9" s="7" t="s">
        <v>192</v>
      </c>
      <c r="E9" s="8" t="n">
        <v>1.15</v>
      </c>
      <c r="F9" s="4" t="n">
        <v>45200</v>
      </c>
    </row>
    <row r="10" customFormat="false" ht="15" hidden="false" customHeight="false" outlineLevel="0" collapsed="false">
      <c r="A10" s="7" t="s">
        <v>35</v>
      </c>
      <c r="B10" s="7" t="s">
        <v>47</v>
      </c>
      <c r="C10" s="7" t="s">
        <v>186</v>
      </c>
      <c r="D10" s="7" t="s">
        <v>190</v>
      </c>
      <c r="E10" s="8" t="n">
        <v>1</v>
      </c>
      <c r="F10" s="4" t="n">
        <v>45200</v>
      </c>
    </row>
    <row r="11" customFormat="false" ht="15" hidden="false" customHeight="false" outlineLevel="0" collapsed="false">
      <c r="A11" s="7" t="s">
        <v>36</v>
      </c>
      <c r="B11" s="7" t="s">
        <v>48</v>
      </c>
      <c r="C11" s="7" t="s">
        <v>186</v>
      </c>
      <c r="D11" s="7" t="s">
        <v>193</v>
      </c>
      <c r="E11" s="8" t="n">
        <v>1</v>
      </c>
      <c r="F11" s="4" t="n">
        <v>45200</v>
      </c>
    </row>
    <row r="12" customFormat="false" ht="15" hidden="false" customHeight="false" outlineLevel="0" collapsed="false">
      <c r="A12" s="7" t="s">
        <v>37</v>
      </c>
      <c r="B12" s="7" t="s">
        <v>49</v>
      </c>
      <c r="C12" s="7" t="s">
        <v>189</v>
      </c>
      <c r="D12" s="7" t="s">
        <v>192</v>
      </c>
      <c r="E12" s="8" t="n">
        <v>1.1</v>
      </c>
      <c r="F12" s="4" t="n">
        <v>45200</v>
      </c>
    </row>
    <row r="13" customFormat="false" ht="15" hidden="false" customHeight="false" outlineLevel="0" collapsed="false">
      <c r="A13" s="7" t="s">
        <v>38</v>
      </c>
      <c r="B13" s="7" t="s">
        <v>50</v>
      </c>
      <c r="C13" s="7" t="s">
        <v>186</v>
      </c>
      <c r="D13" s="7" t="s">
        <v>194</v>
      </c>
      <c r="E13" s="8" t="n">
        <v>1</v>
      </c>
      <c r="F13" s="4" t="n">
        <v>45200</v>
      </c>
    </row>
    <row r="14" customFormat="false" ht="15" hidden="false" customHeight="false" outlineLevel="0" collapsed="false">
      <c r="A14" s="7" t="s">
        <v>39</v>
      </c>
      <c r="B14" s="7" t="s">
        <v>51</v>
      </c>
      <c r="C14" s="7" t="s">
        <v>186</v>
      </c>
      <c r="D14" s="7" t="s">
        <v>195</v>
      </c>
      <c r="E14" s="8" t="n">
        <v>1</v>
      </c>
      <c r="F14" s="4" t="n">
        <v>45323</v>
      </c>
    </row>
    <row r="15" customFormat="false" ht="15" hidden="false" customHeight="false" outlineLevel="0" collapsed="false">
      <c r="A15" s="7" t="s">
        <v>40</v>
      </c>
      <c r="B15" s="7" t="s">
        <v>52</v>
      </c>
      <c r="C15" s="7" t="s">
        <v>189</v>
      </c>
      <c r="D15" s="7" t="s">
        <v>192</v>
      </c>
      <c r="E15" s="8" t="n">
        <v>1.05</v>
      </c>
      <c r="F15" s="4" t="n">
        <v>45505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6.15" hidden="false" customHeight="false" outlineLevel="0" collapsed="false">
      <c r="A1" s="1" t="s">
        <v>196</v>
      </c>
    </row>
    <row r="3" customFormat="false" ht="15" hidden="false" customHeight="false" outlineLevel="0" collapsed="false">
      <c r="A3" s="3" t="s">
        <v>197</v>
      </c>
    </row>
    <row r="4" customFormat="false" ht="15" hidden="false" customHeight="false" outlineLevel="0" collapsed="false">
      <c r="A4" s="0" t="s">
        <v>198</v>
      </c>
    </row>
    <row r="5" customFormat="false" ht="15" hidden="false" customHeight="false" outlineLevel="0" collapsed="false">
      <c r="A5" s="0" t="s">
        <v>199</v>
      </c>
    </row>
    <row r="6" customFormat="false" ht="15" hidden="false" customHeight="false" outlineLevel="0" collapsed="false">
      <c r="A6" s="0" t="s">
        <v>200</v>
      </c>
    </row>
    <row r="7" customFormat="false" ht="15" hidden="false" customHeight="false" outlineLevel="0" collapsed="false">
      <c r="A7" s="0" t="s">
        <v>201</v>
      </c>
    </row>
    <row r="8" customFormat="false" ht="15" hidden="false" customHeight="false" outlineLevel="0" collapsed="false">
      <c r="A8" s="0" t="s">
        <v>202</v>
      </c>
    </row>
    <row r="9" customFormat="false" ht="15" hidden="false" customHeight="false" outlineLevel="0" collapsed="false">
      <c r="A9" s="0" t="s">
        <v>203</v>
      </c>
    </row>
    <row r="10" customFormat="false" ht="15" hidden="false" customHeight="false" outlineLevel="0" collapsed="false">
      <c r="A10" s="0" t="s">
        <v>204</v>
      </c>
    </row>
    <row r="11" customFormat="false" ht="15" hidden="false" customHeight="false" outlineLevel="0" collapsed="false">
      <c r="A11" s="0" t="s">
        <v>205</v>
      </c>
    </row>
    <row r="12" customFormat="false" ht="15" hidden="false" customHeight="false" outlineLevel="0" collapsed="false">
      <c r="A12" s="0" t="s">
        <v>206</v>
      </c>
    </row>
    <row r="14" customFormat="false" ht="15" hidden="false" customHeight="false" outlineLevel="0" collapsed="false">
      <c r="A14" s="3" t="s">
        <v>207</v>
      </c>
    </row>
    <row r="15" customFormat="false" ht="15" hidden="false" customHeight="false" outlineLevel="0" collapsed="false">
      <c r="A15" s="0" t="s">
        <v>208</v>
      </c>
    </row>
    <row r="16" customFormat="false" ht="15" hidden="false" customHeight="false" outlineLevel="0" collapsed="false">
      <c r="A16" s="0" t="s">
        <v>209</v>
      </c>
    </row>
    <row r="17" customFormat="false" ht="15" hidden="false" customHeight="false" outlineLevel="0" collapsed="false">
      <c r="A17" s="0" t="s">
        <v>210</v>
      </c>
    </row>
    <row r="18" customFormat="false" ht="15" hidden="false" customHeight="false" outlineLevel="0" collapsed="false">
      <c r="A18" s="0" t="s">
        <v>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2026-10-15T06:00:04Z</dcterms:created>
  <dc:creator>openpyxl</dc:creator>
  <dc:description/>
  <dc:language>en-US</dc:language>
  <cp:lastModifiedBy/>
  <dcterms:modified xsi:type="dcterms:W3CDTF">2026-10-15T06:00:04Z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